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убликации" sheetId="1" state="visible" r:id="rId3"/>
    <sheet name="Каналы" sheetId="2" state="visible" r:id="rId4"/>
    <sheet name="Признаки" sheetId="3" state="visible" r:id="rId5"/>
  </sheets>
  <definedNames>
    <definedName function="false" hidden="true" localSheetId="0" name="_xlnm._FilterDatabase" vbProcedure="false">Публикации!$A$1:$V$105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<sst xmlns="http://schemas.openxmlformats.org/spreadsheetml/2006/main" count="627" uniqueCount="273">
  <si>
    <t xml:space="preserve">Канал</t>
  </si>
  <si>
    <t xml:space="preserve">Дата публикации</t>
  </si>
  <si>
    <t xml:space="preserve">Заголовок</t>
  </si>
  <si>
    <t xml:space="preserve">Ссылка</t>
  </si>
  <si>
    <t xml:space="preserve">Сегмент</t>
  </si>
  <si>
    <t xml:space="preserve">Глава 2</t>
  </si>
  <si>
    <t xml:space="preserve">Возраст, дней</t>
  </si>
  <si>
    <t xml:space="preserve">Показы</t>
  </si>
  <si>
    <t xml:space="preserve">Открытия</t>
  </si>
  <si>
    <t xml:space="preserve">Дочитывания</t>
  </si>
  <si>
    <t xml:space="preserve">Лайки</t>
  </si>
  <si>
    <t xml:space="preserve">Комментарии</t>
  </si>
  <si>
    <t xml:space="preserve">Подписки</t>
  </si>
  <si>
    <t xml:space="preserve">CTR</t>
  </si>
  <si>
    <t xml:space="preserve">Дочитали, % открывших</t>
  </si>
  <si>
    <t xml:space="preserve">Дочитываний на 1000 показов</t>
  </si>
  <si>
    <t xml:space="preserve">Показы к медиане дня</t>
  </si>
  <si>
    <t xml:space="preserve">Индекс к медиане канала</t>
  </si>
  <si>
    <t xml:space="preserve">Класс</t>
  </si>
  <si>
    <t xml:space="preserve">Знаков</t>
  </si>
  <si>
    <t xml:space="preserve">Доля реплик</t>
  </si>
  <si>
    <t xml:space="preserve">Слов в предложении</t>
  </si>
  <si>
    <t xml:space="preserve">Изнанка эпох</t>
  </si>
  <si>
    <t xml:space="preserve">Её выдали за принца в девять лет, а потом король запер его в сундуке</t>
  </si>
  <si>
    <t xml:space="preserve">https://dzen.ru/media/id/65573443f14fdc5f5f39818c/6ac582093c3baa483e4f5dd3</t>
  </si>
  <si>
    <t xml:space="preserve">новый формат</t>
  </si>
  <si>
    <t xml:space="preserve">рано (&lt;36 ч или &lt;1000 показов)</t>
  </si>
  <si>
    <t xml:space="preserve">Король заставил жену взять свою любовницу во фрейлины</t>
  </si>
  <si>
    <t xml:space="preserve">https://dzen.ru/media/id/65573443f14fdc5f5f39818c/6ac5809b3f0d266eeb83dbe5</t>
  </si>
  <si>
    <t xml:space="preserve">Император Август сослал единственную дочь на остров</t>
  </si>
  <si>
    <t xml:space="preserve">https://dzen.ru/media/id/65573443f14fdc5f5f39818c/6ac40ddfaebdc212255c0c1d</t>
  </si>
  <si>
    <t xml:space="preserve">середина</t>
  </si>
  <si>
    <t xml:space="preserve">Её сватали за принца, а выдали за его отца-короля</t>
  </si>
  <si>
    <t xml:space="preserve">https://dzen.ru/media/id/65573443f14fdc5f5f39818c/6ac40c95079fc9650ed7781a</t>
  </si>
  <si>
    <t xml:space="preserve">хит</t>
  </si>
  <si>
    <t xml:space="preserve">Пленную служанку Пётр I сделал императрицей</t>
  </si>
  <si>
    <t xml:space="preserve">https://dzen.ru/media/id/65573443f14fdc5f5f39818c/6ac3879cc615e32447af4004</t>
  </si>
  <si>
    <t xml:space="preserve">Женщина-фараон носила бороду, а после смерти её стёрли со стен</t>
  </si>
  <si>
    <t xml:space="preserve">https://dzen.ru/media/id/65573443f14fdc5f5f39818c/6ac3851e9a90255ae097f3eb</t>
  </si>
  <si>
    <t xml:space="preserve">Наложница шестого ранга правила Китаем почти полвека</t>
  </si>
  <si>
    <t xml:space="preserve">https://dzen.ru/media/id/65573443f14fdc5f5f39818c/6ac258fe94baec70a6fb7f50</t>
  </si>
  <si>
    <t xml:space="preserve">Её считали некрасивой, а она правила Россией</t>
  </si>
  <si>
    <t xml:space="preserve">https://dzen.ru/media/id/65573443f14fdc5f5f39818c/6ac25729c990f33951cb5910</t>
  </si>
  <si>
    <t xml:space="preserve">Перикл развёлся с женой ради гетеры и плакал за неё в суде</t>
  </si>
  <si>
    <t xml:space="preserve">https://dzen.ru/media/id/65573443f14fdc5f5f39818c/6ac255f563181f69f1e32459</t>
  </si>
  <si>
    <t xml:space="preserve">Её подарили завоевателю, а индейцы назвали предательницей</t>
  </si>
  <si>
    <t xml:space="preserve">https://dzen.ru/media/id/65573443f14fdc5f5f39818c/6ac0d414ce5cf40638e9e25c</t>
  </si>
  <si>
    <t xml:space="preserve">Ради Тютчева она четырнадцать лет жила отверженной</t>
  </si>
  <si>
    <t xml:space="preserve">https://dzen.ru/media/id/65573443f14fdc5f5f39818c/6ac0d1afe9930679c3174f52</t>
  </si>
  <si>
    <t xml:space="preserve">Нельсон завещал её Англии, но Англия от неё отказалась</t>
  </si>
  <si>
    <t xml:space="preserve">https://dzen.ru/media/id/65573443f14fdc5f5f39818c/6ac0d0789a90255ae0360419</t>
  </si>
  <si>
    <t xml:space="preserve">провал</t>
  </si>
  <si>
    <t xml:space="preserve">Лукрецию Борджиа отец трижды выдавал замуж ради политики</t>
  </si>
  <si>
    <t xml:space="preserve">https://dzen.ru/media/id/65573443f14fdc5f5f39818c/6abec7421e1eef1b04478f94</t>
  </si>
  <si>
    <t xml:space="preserve">Дочь смотрителя медведей стала императрицей и спасла трон мужа</t>
  </si>
  <si>
    <t xml:space="preserve">https://dzen.ru/media/id/65573443f14fdc5f5f39818c/6abec5548063754dd38e9a7d</t>
  </si>
  <si>
    <t xml:space="preserve">Княжну Тараканову встретили на корабле салютом, а потом арестовали</t>
  </si>
  <si>
    <t xml:space="preserve">https://dzen.ru/media/id/65573443f14fdc5f5f39818c/6abec3eb4eb1ed67e6b223c3</t>
  </si>
  <si>
    <t xml:space="preserve">Жена, ради которой построили Тадж-Махал, умерла в походном шатре</t>
  </si>
  <si>
    <t xml:space="preserve">https://dzen.ru/media/id/65573443f14fdc5f5f39818c/6abd8fa04176b84e42e6770a</t>
  </si>
  <si>
    <t xml:space="preserve">Гейшу выкупил племянник банкира Моргана, а Япония её не простила</t>
  </si>
  <si>
    <t xml:space="preserve">https://dzen.ru/media/id/65573443f14fdc5f5f39818c/6abd8e6a4176b84e42e593f3</t>
  </si>
  <si>
    <t xml:space="preserve">Нерон развёлся ради Поппеи, а потом сам её погубил</t>
  </si>
  <si>
    <t xml:space="preserve">https://dzen.ru/media/id/65573443f14fdc5f5f39818c/6abd8ce9e4bb996a1f9b3d3d</t>
  </si>
  <si>
    <t xml:space="preserve">Пленницу продали в гарем, а она стала женой султана</t>
  </si>
  <si>
    <t xml:space="preserve">https://dzen.ru/media/id/65573443f14fdc5f5f39818c/6abbfcdf429e4938ff2172f9</t>
  </si>
  <si>
    <t xml:space="preserve">Император отнял у сына жену, а потом не смог её спасти</t>
  </si>
  <si>
    <t xml:space="preserve">https://dzen.ru/media/id/65573443f14fdc5f5f39818c/6abbfb14d14c2b4122e52a99</t>
  </si>
  <si>
    <t xml:space="preserve">Покахонтас взяли в заложницы, а потом выдали за англичанина</t>
  </si>
  <si>
    <t xml:space="preserve">https://dzen.ru/media/id/65573443f14fdc5f5f39818c/6abbf9753827be284f288596</t>
  </si>
  <si>
    <t xml:space="preserve">Дочь Ярослава Мудрого бросила французский трон ради женатого графа</t>
  </si>
  <si>
    <t xml:space="preserve">https://dzen.ru/media/id/65573443f14fdc5f5f39818c/6aba78456d028237383d3ee1</t>
  </si>
  <si>
    <t xml:space="preserve">После смерти жены Иван стал Грозным</t>
  </si>
  <si>
    <t xml:space="preserve">https://dzen.ru/media/id/65573443f14fdc5f5f39818c/6aba719416d4d432d401d25a</t>
  </si>
  <si>
    <t xml:space="preserve">Музу Пушкина выдали замуж в шестнадцать лет за старого генерала</t>
  </si>
  <si>
    <t xml:space="preserve">https://dzen.ru/media/id/65573443f14fdc5f5f39818c/6aba6fe717d1dc1b7578bb9a</t>
  </si>
  <si>
    <t xml:space="preserve">Любовница Петра I могла занять место Екатерины</t>
  </si>
  <si>
    <t xml:space="preserve">https://dzen.ru/media/id/65573443f14fdc5f5f39818c/6ab985b4429e4938ffc06766</t>
  </si>
  <si>
    <t xml:space="preserve">Фаворитку Павла I газета назвала самой некрасивой из существ</t>
  </si>
  <si>
    <t xml:space="preserve">https://dzen.ru/media/id/65573443f14fdc5f5f39818c/6ab98481a7f0297f55ddade3</t>
  </si>
  <si>
    <t xml:space="preserve">Вдова Пушкина вышла замуж через семь лет</t>
  </si>
  <si>
    <t xml:space="preserve">https://dzen.ru/media/id/65573443f14fdc5f5f39818c/6ab97ec532764630033422dc</t>
  </si>
  <si>
    <t xml:space="preserve">Жена декабриста поцеловала кандалы мужа</t>
  </si>
  <si>
    <t xml:space="preserve">https://dzen.ru/media/id/65573443f14fdc5f5f39818c/6ab7fab18a40ec71b05cccc6</t>
  </si>
  <si>
    <t xml:space="preserve">Государыня-невеста так и не стала женой императора</t>
  </si>
  <si>
    <t xml:space="preserve">https://dzen.ru/media/id/65573443f14fdc5f5f39818c/6ab7f9587185080ba48a444d</t>
  </si>
  <si>
    <t xml:space="preserve">Крепостная девушка родила сына от Пушкина</t>
  </si>
  <si>
    <t xml:space="preserve">https://dzen.ru/media/id/65573443f14fdc5f5f39818c/6ab7f7806ace2d3c95eff48a</t>
  </si>
  <si>
    <t xml:space="preserve">Жена Достоевского заложила даже обручальное кольцо</t>
  </si>
  <si>
    <t xml:space="preserve">https://dzen.ru/media/id/65573443f14fdc5f5f39818c/6ab6efe48a40ec71b0e08ce1</t>
  </si>
  <si>
    <t xml:space="preserve">Любовницу Петра I выдали письма утонувшего посла</t>
  </si>
  <si>
    <t xml:space="preserve">https://dzen.ru/media/id/65573443f14fdc5f5f39818c/6ab6eda2a7f0297f55283b52</t>
  </si>
  <si>
    <t xml:space="preserve">Перед свадьбой Толстой дал невесте прочитать свои дневники</t>
  </si>
  <si>
    <t xml:space="preserve">https://dzen.ru/media/id/65573443f14fdc5f5f39818c/6ab58e3e94722d4dd3886186</t>
  </si>
  <si>
    <t xml:space="preserve">Крепостную актрису граф Шереметев тайно взял в жёны</t>
  </si>
  <si>
    <t xml:space="preserve">https://dzen.ru/media/id/65573443f14fdc5f5f39818c/6ab58c62feee6e4409d82690</t>
  </si>
  <si>
    <t xml:space="preserve">Грозный клялся, что жена умерла девицей</t>
  </si>
  <si>
    <t xml:space="preserve">https://dzen.ru/media/id/65573443f14fdc5f5f39818c/6ab58a51b3310a0afe9cacca</t>
  </si>
  <si>
    <t xml:space="preserve">Она ждала императора 14 лет</t>
  </si>
  <si>
    <t xml:space="preserve">https://dzen.ru/media/id/65573443f14fdc5f5f39818c/6ab45171dc60555c251e6c6a</t>
  </si>
  <si>
    <t xml:space="preserve">Императрицу развели ради наследника</t>
  </si>
  <si>
    <t xml:space="preserve">https://dzen.ru/media/id/65573443f14fdc5f5f39818c/6ab44f260826af3f245a9314</t>
  </si>
  <si>
    <t xml:space="preserve">Некрасивая жена пережила всех жён короля</t>
  </si>
  <si>
    <t xml:space="preserve">https://dzen.ru/media/id/65573443f14fdc5f5f39818c/6ab44c9d96401f17f0274c65</t>
  </si>
  <si>
    <t xml:space="preserve">Царскую невесту сослали перед самой свадьбой</t>
  </si>
  <si>
    <t xml:space="preserve">https://dzen.ru/media/id/65573443f14fdc5f5f39818c/6ab44849fa8c315b3bbc554e</t>
  </si>
  <si>
    <t xml:space="preserve">Первую жену Петра заточили в монастырь</t>
  </si>
  <si>
    <t xml:space="preserve">https://dzen.ru/media/id/65573443f14fdc5f5f39818c/6ab445d761d3aa25d87dff6a</t>
  </si>
  <si>
    <t xml:space="preserve">Через три месяца после свадьбы она овдовела</t>
  </si>
  <si>
    <t xml:space="preserve">https://dzen.ru/media/id/65573443f14fdc5f5f39818c/6ab40b26ed89885e3345f666</t>
  </si>
  <si>
    <t xml:space="preserve">Её выдали замуж в ледяном доме</t>
  </si>
  <si>
    <t xml:space="preserve">https://dzen.ru/media/id/65573443f14fdc5f5f39818c/6ab408f6f592e84253813218</t>
  </si>
  <si>
    <t xml:space="preserve">Фаворитку короля заподозрили в колдовстве: история жестокой красавицы Версаля</t>
  </si>
  <si>
    <t xml:space="preserve">https://dzen.ru/media/id/65573443f14fdc5f5f39818c/6ab3c1361600bb26c0e3424d</t>
  </si>
  <si>
    <t xml:space="preserve">переход</t>
  </si>
  <si>
    <t xml:space="preserve">вне разбора (старый/переходный формат)</t>
  </si>
  <si>
    <t xml:space="preserve">Проба невесты на Руси: что это было и почему правду скрыли</t>
  </si>
  <si>
    <t xml:space="preserve">https://dzen.ru/media/id/65573443f14fdc5f5f39818c/6ab3b9ba9679235655a85920</t>
  </si>
  <si>
    <t xml:space="preserve">переход (статьи пользователя)</t>
  </si>
  <si>
    <t xml:space="preserve">Первая брачная ночь стала последней: что скрыли от невесты</t>
  </si>
  <si>
    <t xml:space="preserve">https://dzen.ru/media/id/65573443f14fdc5f5f39818c/6ab3b14e7d98625a2b7d4b03</t>
  </si>
  <si>
    <t xml:space="preserve">Чем стирали бельё до мыла</t>
  </si>
  <si>
    <t xml:space="preserve">https://dzen.ru/media/id/65573443f14fdc5f5f39818c/6ab1508686f4315f5e743cb8</t>
  </si>
  <si>
    <t xml:space="preserve">старый формат</t>
  </si>
  <si>
    <t xml:space="preserve">Неприятные обязанности придворного брадобрея</t>
  </si>
  <si>
    <t xml:space="preserve">https://dzen.ru/media/id/65573443f14fdc5f5f39818c/6ab14ffb3f2fa613c81996b6</t>
  </si>
  <si>
    <t xml:space="preserve">Как спали в общих постелях</t>
  </si>
  <si>
    <t xml:space="preserve">https://dzen.ru/media/id/65573443f14fdc5f5f39818c/6ab13341406cec120075022d</t>
  </si>
  <si>
    <t xml:space="preserve">Что носили под сари</t>
  </si>
  <si>
    <t xml:space="preserve">https://dzen.ru/media/id/65573443f14fdc5f5f39818c/6aaeee57b4a3026618499acb</t>
  </si>
  <si>
    <t xml:space="preserve">Что раньше делали с молочными зубами</t>
  </si>
  <si>
    <t xml:space="preserve">https://dzen.ru/media/id/65573443f14fdc5f5f39818c/6aac572753c058258c27ba36</t>
  </si>
  <si>
    <t xml:space="preserve">Как мылись женщины Древнего Рима</t>
  </si>
  <si>
    <t xml:space="preserve">https://dzen.ru/media/id/65573443f14fdc5f5f39818c/6aac56957039736e701f8600</t>
  </si>
  <si>
    <t xml:space="preserve">Как избавлялись от вшей во дворце</t>
  </si>
  <si>
    <t xml:space="preserve">https://dzen.ru/media/id/65573443f14fdc5f5f39818c/6aa9a5447defab6a18d12241</t>
  </si>
  <si>
    <t xml:space="preserve">Кто мыл руки королю</t>
  </si>
  <si>
    <t xml:space="preserve">https://dzen.ru/media/id/65573443f14fdc5f5f39818c/6aa9a373ca5b71607b727811</t>
  </si>
  <si>
    <t xml:space="preserve">Что входило в работу банщицы</t>
  </si>
  <si>
    <t xml:space="preserve">https://dzen.ru/media/id/65573443f14fdc5f5f39818c/6aa91df7c7e709610d1e1662</t>
  </si>
  <si>
    <t xml:space="preserve">Что делали японки с бровями</t>
  </si>
  <si>
    <t xml:space="preserve">https://dzen.ru/media/id/65573443f14fdc5f5f39818c/6a9304d68e43707747eb4b11</t>
  </si>
  <si>
    <t xml:space="preserve">Чем чистили зубы английские королевы</t>
  </si>
  <si>
    <t xml:space="preserve">https://dzen.ru/media/id/65573443f14fdc5f5f39818c/6a808728738ff0547323c9ea</t>
  </si>
  <si>
    <t xml:space="preserve">Кого брали в кормилицы к наследнику</t>
  </si>
  <si>
    <t xml:space="preserve">https://dzen.ru/media/id/65573443f14fdc5f5f39818c/6a747bdbfdaa4d5842f285ab</t>
  </si>
  <si>
    <t xml:space="preserve">Как мылись самураи перед боем</t>
  </si>
  <si>
    <t xml:space="preserve">https://dzen.ru/media/id/65573443f14fdc5f5f39818c/6a6e728dcfb48d79ad45e7c6</t>
  </si>
  <si>
    <t xml:space="preserve">Что стояло под кроватью королевы</t>
  </si>
  <si>
    <t xml:space="preserve">https://dzen.ru/media/id/65573443f14fdc5f5f39818c/6a6e125645104510f9e82375</t>
  </si>
  <si>
    <t xml:space="preserve">Чем пахла Клеопатра</t>
  </si>
  <si>
    <t xml:space="preserve">https://dzen.ru/media/id/65573443f14fdc5f5f39818c/6a6ca94c7d5d8652f17c3b74</t>
  </si>
  <si>
    <t xml:space="preserve">Маменька велела</t>
  </si>
  <si>
    <t xml:space="preserve">Барыня без имения</t>
  </si>
  <si>
    <t xml:space="preserve">https://dzen.ru/media/id/6ac2b2c6e271ea3da0f47ca1/6ac57dd137e6ee15c515eb6c</t>
  </si>
  <si>
    <t xml:space="preserve">основной</t>
  </si>
  <si>
    <t xml:space="preserve">Сломанный веер</t>
  </si>
  <si>
    <t xml:space="preserve">https://dzen.ru/media/id/6ac2b2c6e271ea3da0f47ca1/6ac57d313c3baa483e4c0296</t>
  </si>
  <si>
    <t xml:space="preserve">Уля. Вторая хозяйка</t>
  </si>
  <si>
    <t xml:space="preserve">https://dzen.ru/media/id/6ac2b2c6e271ea3da0f47ca1/6ac40926679f364783adabe2</t>
  </si>
  <si>
    <t xml:space="preserve">Чужая невеста</t>
  </si>
  <si>
    <t xml:space="preserve">https://dzen.ru/media/id/6ac2b2c6e271ea3da0f47ca1/6ac40856608ac6723889135a</t>
  </si>
  <si>
    <t xml:space="preserve">Невеста с чужим медальоном</t>
  </si>
  <si>
    <t xml:space="preserve">https://dzen.ru/media/id/6ac2b2c6e271ea3da0f47ca1/6ac2d4d1e271ea3da01a1e9d</t>
  </si>
  <si>
    <t xml:space="preserve">Купчиха</t>
  </si>
  <si>
    <t xml:space="preserve">https://dzen.ru/media/id/6ac2b2c6e271ea3da0f47ca1/6ac2cef9c7f1ba6adbae2b7e</t>
  </si>
  <si>
    <t xml:space="preserve">Варенька. Чужая в доме</t>
  </si>
  <si>
    <t xml:space="preserve">https://dzen.ru/media/id/6ac2b2c6e271ea3da0f47ca1/6ac2b5b26efc785001088cec</t>
  </si>
  <si>
    <t xml:space="preserve">Бальная книжка</t>
  </si>
  <si>
    <t xml:space="preserve">https://dzen.ru/media/id/6ac2b2c6e271ea3da0f47ca1/6ac2b3aa11fd9676e4be443d</t>
  </si>
  <si>
    <t xml:space="preserve">Общая кухня</t>
  </si>
  <si>
    <t xml:space="preserve">Невестка из общежития</t>
  </si>
  <si>
    <t xml:space="preserve">https://dzen.ru/media/id/6abf9e78978ea5735f0256cc/6ac579e7f4c23c3b7f870ac4</t>
  </si>
  <si>
    <t xml:space="preserve">Сестра на одну зиму</t>
  </si>
  <si>
    <t xml:space="preserve">https://dzen.ru/media/id/6abf9e78978ea5735f0256cc/6ac57816744b537db1022eba</t>
  </si>
  <si>
    <t xml:space="preserve">Вторая жена. Глава 2</t>
  </si>
  <si>
    <t xml:space="preserve">https://dzen.ru/media/id/6abf9e78978ea5735f0256cc/6ac411fa6d8d675018b1b3b1</t>
  </si>
  <si>
    <t xml:space="preserve">да</t>
  </si>
  <si>
    <t xml:space="preserve">Вторая жена</t>
  </si>
  <si>
    <t xml:space="preserve">https://dzen.ru/media/id/6abf9e78978ea5735f0256cc/6ac4111eaa83fc28b54df065</t>
  </si>
  <si>
    <t xml:space="preserve">Зина. Гость по ночам</t>
  </si>
  <si>
    <t xml:space="preserve">https://dzen.ru/media/id/6abf9e78978ea5735f0256cc/6ac40fffb83d19600cf272c8</t>
  </si>
  <si>
    <t xml:space="preserve">Неродная внучка</t>
  </si>
  <si>
    <t xml:space="preserve">https://dzen.ru/media/id/6abf9e78978ea5735f0256cc/6ac342353f8c60338c59087c</t>
  </si>
  <si>
    <t xml:space="preserve">Ираида. Свекровь на обмен</t>
  </si>
  <si>
    <t xml:space="preserve">https://dzen.ru/media/id/6abf9e78978ea5735f0256cc/6ac33daac615e3244704e5c4</t>
  </si>
  <si>
    <t xml:space="preserve">Чужая дочь</t>
  </si>
  <si>
    <t xml:space="preserve">https://dzen.ru/media/id/6abf9e78978ea5735f0256cc/6ac25bfc73eaa5227f568dec</t>
  </si>
  <si>
    <t xml:space="preserve">Девять лет в очереди</t>
  </si>
  <si>
    <t xml:space="preserve">https://dzen.ru/media/id/6abf9e78978ea5735f0256cc/6ac25abef01fd528ea6a9968</t>
  </si>
  <si>
    <t xml:space="preserve">Исполнительный лист</t>
  </si>
  <si>
    <t xml:space="preserve">https://dzen.ru/media/id/6abf9e78978ea5735f0256cc/6ac0d7d79a90255ae04405ba</t>
  </si>
  <si>
    <t xml:space="preserve">Золовка из соседней комнаты</t>
  </si>
  <si>
    <t xml:space="preserve">https://dzen.ru/media/id/6abf9e78978ea5735f0256cc/6ac0d702af231e1b47b08dc5</t>
  </si>
  <si>
    <t xml:space="preserve">Лимитчица</t>
  </si>
  <si>
    <t xml:space="preserve">https://dzen.ru/media/id/6abf9e78978ea5735f0256cc/6abfa26082bdbc70ffa59498</t>
  </si>
  <si>
    <t xml:space="preserve">Таисия. Жена на бумаге</t>
  </si>
  <si>
    <t xml:space="preserve">https://dzen.ru/media/id/6abf9e78978ea5735f0256cc/6abfa05f3bb0354be943a2f7</t>
  </si>
  <si>
    <t xml:space="preserve">Деревенская сноха</t>
  </si>
  <si>
    <t xml:space="preserve">https://dzen.ru/media/id/6abf9e78978ea5735f0256cc/6abf9ef43bb0354be9406980</t>
  </si>
  <si>
    <t xml:space="preserve">Свои и чужие</t>
  </si>
  <si>
    <t xml:space="preserve">Тоня. Ославленная вдова</t>
  </si>
  <si>
    <t xml:space="preserve">https://dzen.ru/media/id/6abaedf23d86857e41a5326c/6ac56f9a37e6ee15c50a8412</t>
  </si>
  <si>
    <t xml:space="preserve">Люба. Невеста без писем</t>
  </si>
  <si>
    <t xml:space="preserve">https://dzen.ru/media/id/6abaedf23d86857e41a5326c/6ac56e7e43223e36ed937c57</t>
  </si>
  <si>
    <t xml:space="preserve">Рыжий внук</t>
  </si>
  <si>
    <t xml:space="preserve">https://dzen.ru/media/id/6abaedf23d86857e41a5326c/6ac51eb4089f1b428549edd3</t>
  </si>
  <si>
    <t xml:space="preserve">Одиннадцать лет без вестей. Глава 2</t>
  </si>
  <si>
    <t xml:space="preserve">https://dzen.ru/media/id/6abaedf23d86857e41a5326c/6ac405f1404ae167ef33b006</t>
  </si>
  <si>
    <t xml:space="preserve">глава 2 (не сравнивается)</t>
  </si>
  <si>
    <t xml:space="preserve">Одиннадцать лет без вестей</t>
  </si>
  <si>
    <t xml:space="preserve">https://dzen.ru/media/id/6abaedf23d86857e41a5326c/6ac404c2608ac6723883cf61</t>
  </si>
  <si>
    <t xml:space="preserve">Свекровин ключ</t>
  </si>
  <si>
    <t xml:space="preserve">https://dzen.ru/media/id/6abaedf23d86857e41a5326c/6ac3483c94baec70a659248e</t>
  </si>
  <si>
    <t xml:space="preserve">Пустоцвет из Ключей</t>
  </si>
  <si>
    <t xml:space="preserve">https://dzen.ru/media/id/6abaedf23d86857e41a5326c/6ac3474a63181f69f143fe07</t>
  </si>
  <si>
    <t xml:space="preserve">Мамин сундук</t>
  </si>
  <si>
    <t xml:space="preserve">https://dzen.ru/media/id/6abaedf23d86857e41a5326c/6ac238f70aa2e54ca7999163</t>
  </si>
  <si>
    <t xml:space="preserve">Сестра в чужих бусах</t>
  </si>
  <si>
    <t xml:space="preserve">https://dzen.ru/media/id/6abaedf23d86857e41a5326c/6ac23271fe1edc0c7073dff6</t>
  </si>
  <si>
    <t xml:space="preserve">Старая невеста</t>
  </si>
  <si>
    <t xml:space="preserve">https://dzen.ru/media/id/6abaedf23d86857e41a5326c/6ac11a3c63181f69f1074359</t>
  </si>
  <si>
    <t xml:space="preserve">Шура. Жена вора</t>
  </si>
  <si>
    <t xml:space="preserve">https://dzen.ru/media/id/6abaedf23d86857e41a5326c/6ac11361fe1edc0c70d24537</t>
  </si>
  <si>
    <t xml:space="preserve">Невеста с ребёнком. Глава 2</t>
  </si>
  <si>
    <t xml:space="preserve">https://dzen.ru/media/id/6abaedf23d86857e41a5326c/6abebfa13753f666cf3fd8c8</t>
  </si>
  <si>
    <t xml:space="preserve">Невеста с ребёнком</t>
  </si>
  <si>
    <t xml:space="preserve">https://dzen.ru/media/id/6abaedf23d86857e41a5326c/6abebebe4a2eda5e95ffe72b</t>
  </si>
  <si>
    <t xml:space="preserve">Клавдия. Жена без мужа</t>
  </si>
  <si>
    <t xml:space="preserve">https://dzen.ru/media/id/6abaedf23d86857e41a5326c/6abebd994a2eda5e95fe1ef4</t>
  </si>
  <si>
    <t xml:space="preserve">Чужая свадьба</t>
  </si>
  <si>
    <t xml:space="preserve">https://dzen.ru/media/id/6abaedf23d86857e41a5326c/6abebc4658f52a5e6c78e1af</t>
  </si>
  <si>
    <t xml:space="preserve">Неродной батя</t>
  </si>
  <si>
    <t xml:space="preserve">https://dzen.ru/media/id/6abaedf23d86857e41a5326c/6abd945f7d1d8061f871a140</t>
  </si>
  <si>
    <t xml:space="preserve">Бабкины серьги</t>
  </si>
  <si>
    <t xml:space="preserve">https://dzen.ru/media/id/6abaedf23d86857e41a5326c/6abd9357325f773f8be46dbb</t>
  </si>
  <si>
    <t xml:space="preserve">Без паспорта</t>
  </si>
  <si>
    <t xml:space="preserve">https://dzen.ru/media/id/6abaedf23d86857e41a5326c/6abd9231d317365e09b3bad1</t>
  </si>
  <si>
    <t xml:space="preserve">Вторая жена лесника</t>
  </si>
  <si>
    <t xml:space="preserve">https://dzen.ru/media/id/6abaedf23d86857e41a5326c/6abce6dd325f773f8bdca3d1</t>
  </si>
  <si>
    <t xml:space="preserve">Приблуда</t>
  </si>
  <si>
    <t xml:space="preserve">https://dzen.ru/media/id/6abaedf23d86857e41a5326c/6abcea0c6ace2d3c9521002a</t>
  </si>
  <si>
    <t xml:space="preserve">Сноха из города</t>
  </si>
  <si>
    <t xml:space="preserve">https://dzen.ru/media/id/6abaedf23d86857e41a5326c/6abbf4d2237dc7058846487a</t>
  </si>
  <si>
    <t xml:space="preserve">Вторая мать</t>
  </si>
  <si>
    <t xml:space="preserve">https://dzen.ru/media/id/6abaedf23d86857e41a5326c/6abaef113d86857e41a6042c</t>
  </si>
  <si>
    <t xml:space="preserve">Источник: выгрузки Студии Дзена 09.09–08.10.2026 (присланы владельцем). Возраст считается от 08.10.2026 03:00 МСК. «Показы к медиане дня», «Индекс» и «Класс» посчитаны в Python: индекс = дочитывания на 1000 показов / медиана канала; хит ≥ 2 или верхние 10%, провал ≤ 0,3 или нижние 20%; статьи моложе 36 ч и с показами &lt; 1000 не классифицированы. Замеры текста по файлам ГОТОВО-К-ВСТАВКЕ.</t>
  </si>
  <si>
    <t xml:space="preserve">Статей</t>
  </si>
  <si>
    <t xml:space="preserve">Подписок на 1000 дочитываний</t>
  </si>
  <si>
    <t xml:space="preserve">Лайков на 1000 дочитываний</t>
  </si>
  <si>
    <t xml:space="preserve">Все цифры считаются формулами из листа «Публикации». «Изнанка эпох» только новый формат (с вечера 23.09.2026).</t>
  </si>
  <si>
    <t xml:space="preserve">Признак</t>
  </si>
  <si>
    <t xml:space="preserve">Значение</t>
  </si>
  <si>
    <t xml:space="preserve">Медиана CTR</t>
  </si>
  <si>
    <t xml:space="preserve">Медиана «дочитали»</t>
  </si>
  <si>
    <t xml:space="preserve">Вывод</t>
  </si>
  <si>
    <t xml:space="preserve">Пушкин в заголовке</t>
  </si>
  <si>
    <t xml:space="preserve">нет</t>
  </si>
  <si>
    <t xml:space="preserve">Брак по воле семьи (выдали, сватали, в жёны)</t>
  </si>
  <si>
    <t xml:space="preserve">Русская героиня</t>
  </si>
  <si>
    <t xml:space="preserve">Конструкция «…, а потом…» / «…, а…» / «…, но…»</t>
  </si>
  <si>
    <t xml:space="preserve">Власть и политика (правила, трон, сослали)</t>
  </si>
  <si>
    <t xml:space="preserve">Брак, тело, любовь в заголовке</t>
  </si>
  <si>
    <t xml:space="preserve">Русская классика (Пушкин, Толстой, Достоевский, Тютчев, декабристы)</t>
  </si>
  <si>
    <t xml:space="preserve">Период</t>
  </si>
  <si>
    <t xml:space="preserve">до прорыва (29.09–01.10 05:59)</t>
  </si>
  <si>
    <t xml:space="preserve">после прорыва</t>
  </si>
  <si>
    <t xml:space="preserve">Время публикации (после прорыва)</t>
  </si>
  <si>
    <t xml:space="preserve">день и вечер</t>
  </si>
  <si>
    <t xml:space="preserve">показы к медиане дня: 1.0</t>
  </si>
  <si>
    <t xml:space="preserve">утро (до 12:00)</t>
  </si>
  <si>
    <t xml:space="preserve">показы к медиане дня: 1.13</t>
  </si>
  <si>
    <t xml:space="preserve">Посчитано в Python по листу «Публикации»; «Изнанка» только новый формат, статьи старше 1,7 дня. Группы меньше 10 статей = гипотезы.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</si>
</sst>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\ hh:mm"/>
    <numFmt numFmtId="166" formatCode="#,##0"/>
    <numFmt numFmtId="167" formatCode="0.0%"/>
    <numFmt numFmtId="168" formatCode="0%"/>
    <numFmt numFmtId="169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22"/>
    <col collapsed="false" customWidth="true" hidden="false" outlineLevel="0" max="21" min="20" style="0" width="8"/>
    <col collapsed="false" customWidth="true" hidden="false" outlineLevel="0" max="22" min="22" style="0" width="9"/>
  </cols>
  <sheetData>
    <row r="1" customFormat="false" ht="77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3" t="n">
        <v>46302.4142939815</v>
      </c>
      <c r="C2" s="2" t="s">
        <v>23</v>
      </c>
      <c r="D2" s="2" t="s">
        <v>24</v>
      </c>
      <c r="E2" s="2" t="s">
        <v>25</v>
      </c>
      <c r="F2" s="2"/>
      <c r="G2" s="2" t="n">
        <v>0.71</v>
      </c>
      <c r="H2" s="4" t="n">
        <v>44</v>
      </c>
      <c r="I2" s="4" t="n">
        <v>2</v>
      </c>
      <c r="J2" s="4" t="n">
        <v>2</v>
      </c>
      <c r="K2" s="2" t="n">
        <v>0</v>
      </c>
      <c r="L2" s="2" t="n">
        <v>0</v>
      </c>
      <c r="M2" s="2" t="n">
        <v>0</v>
      </c>
      <c r="N2" s="5" t="n">
        <f aca="false">IFERROR(I2/H2,"")</f>
        <v>0.0454545454545455</v>
      </c>
      <c r="O2" s="6" t="n">
        <f aca="false">IFERROR(J2/I2,"")</f>
        <v>1</v>
      </c>
      <c r="P2" s="7" t="n">
        <f aca="false">IFERROR(1000*J2/H2,"")</f>
        <v>45.4545454545455</v>
      </c>
      <c r="Q2" s="2" t="n">
        <v>0.81</v>
      </c>
      <c r="R2" s="2"/>
      <c r="S2" s="2" t="s">
        <v>26</v>
      </c>
      <c r="T2" s="2" t="n">
        <v>5098</v>
      </c>
      <c r="U2" s="6" t="n">
        <v>0.06</v>
      </c>
      <c r="V2" s="2" t="n">
        <v>9.2</v>
      </c>
    </row>
    <row r="3" customFormat="false" ht="15" hidden="false" customHeight="false" outlineLevel="0" collapsed="false">
      <c r="A3" s="2" t="s">
        <v>22</v>
      </c>
      <c r="B3" s="3" t="n">
        <v>46302.3138657407</v>
      </c>
      <c r="C3" s="2" t="s">
        <v>27</v>
      </c>
      <c r="D3" s="2" t="s">
        <v>28</v>
      </c>
      <c r="E3" s="2" t="s">
        <v>25</v>
      </c>
      <c r="F3" s="2"/>
      <c r="G3" s="2" t="n">
        <v>0.81</v>
      </c>
      <c r="H3" s="4" t="n">
        <v>65</v>
      </c>
      <c r="I3" s="4" t="n">
        <v>10</v>
      </c>
      <c r="J3" s="4" t="n">
        <v>6</v>
      </c>
      <c r="K3" s="2" t="n">
        <v>1</v>
      </c>
      <c r="L3" s="2" t="n">
        <v>0</v>
      </c>
      <c r="M3" s="2" t="n">
        <v>0</v>
      </c>
      <c r="N3" s="5" t="n">
        <f aca="false">IFERROR(I3/H3,"")</f>
        <v>0.153846153846154</v>
      </c>
      <c r="O3" s="6" t="n">
        <f aca="false">IFERROR(J3/I3,"")</f>
        <v>0.6</v>
      </c>
      <c r="P3" s="7" t="n">
        <f aca="false">IFERROR(1000*J3/H3,"")</f>
        <v>92.3076923076923</v>
      </c>
      <c r="Q3" s="2" t="n">
        <v>1.19</v>
      </c>
      <c r="R3" s="2"/>
      <c r="S3" s="2" t="s">
        <v>26</v>
      </c>
      <c r="T3" s="2" t="n">
        <v>4966</v>
      </c>
      <c r="U3" s="6" t="n">
        <v>0.06</v>
      </c>
      <c r="V3" s="2" t="n">
        <v>8.4</v>
      </c>
    </row>
    <row r="4" customFormat="false" ht="15" hidden="false" customHeight="false" outlineLevel="0" collapsed="false">
      <c r="A4" s="2" t="s">
        <v>22</v>
      </c>
      <c r="B4" s="3" t="n">
        <v>46301.4181944444</v>
      </c>
      <c r="C4" s="2" t="s">
        <v>29</v>
      </c>
      <c r="D4" s="2" t="s">
        <v>30</v>
      </c>
      <c r="E4" s="2" t="s">
        <v>25</v>
      </c>
      <c r="F4" s="2"/>
      <c r="G4" s="2" t="n">
        <v>1.71</v>
      </c>
      <c r="H4" s="4" t="n">
        <v>3352</v>
      </c>
      <c r="I4" s="4" t="n">
        <v>46</v>
      </c>
      <c r="J4" s="4" t="n">
        <v>28</v>
      </c>
      <c r="K4" s="2" t="n">
        <v>2</v>
      </c>
      <c r="L4" s="2" t="n">
        <v>0</v>
      </c>
      <c r="M4" s="2" t="n">
        <v>1</v>
      </c>
      <c r="N4" s="5" t="n">
        <f aca="false">IFERROR(I4/H4,"")</f>
        <v>0.0137231503579952</v>
      </c>
      <c r="O4" s="6" t="n">
        <f aca="false">IFERROR(J4/I4,"")</f>
        <v>0.608695652173913</v>
      </c>
      <c r="P4" s="7" t="n">
        <f aca="false">IFERROR(1000*J4/H4,"")</f>
        <v>8.35322195704057</v>
      </c>
      <c r="Q4" s="2" t="n">
        <v>0.91</v>
      </c>
      <c r="R4" s="2" t="n">
        <v>0.79</v>
      </c>
      <c r="S4" s="2" t="s">
        <v>31</v>
      </c>
      <c r="T4" s="2" t="n">
        <v>5354</v>
      </c>
      <c r="U4" s="6" t="n">
        <v>0.06</v>
      </c>
      <c r="V4" s="2" t="n">
        <v>9.6</v>
      </c>
    </row>
    <row r="5" customFormat="false" ht="15" hidden="false" customHeight="false" outlineLevel="0" collapsed="false">
      <c r="A5" s="2" t="s">
        <v>22</v>
      </c>
      <c r="B5" s="3" t="n">
        <v>46301.3345138889</v>
      </c>
      <c r="C5" s="2" t="s">
        <v>32</v>
      </c>
      <c r="D5" s="2" t="s">
        <v>33</v>
      </c>
      <c r="E5" s="2" t="s">
        <v>25</v>
      </c>
      <c r="F5" s="2"/>
      <c r="G5" s="2" t="n">
        <v>1.79</v>
      </c>
      <c r="H5" s="4" t="n">
        <v>4002</v>
      </c>
      <c r="I5" s="4" t="n">
        <v>174</v>
      </c>
      <c r="J5" s="4" t="n">
        <v>116</v>
      </c>
      <c r="K5" s="2" t="n">
        <v>5</v>
      </c>
      <c r="L5" s="2" t="n">
        <v>0</v>
      </c>
      <c r="M5" s="2" t="n">
        <v>1</v>
      </c>
      <c r="N5" s="5" t="n">
        <f aca="false">IFERROR(I5/H5,"")</f>
        <v>0.0434782608695652</v>
      </c>
      <c r="O5" s="6" t="n">
        <f aca="false">IFERROR(J5/I5,"")</f>
        <v>0.666666666666667</v>
      </c>
      <c r="P5" s="7" t="n">
        <f aca="false">IFERROR(1000*J5/H5,"")</f>
        <v>28.9855072463768</v>
      </c>
      <c r="Q5" s="2" t="n">
        <v>1.09</v>
      </c>
      <c r="R5" s="2" t="n">
        <v>2.75</v>
      </c>
      <c r="S5" s="2" t="s">
        <v>34</v>
      </c>
      <c r="T5" s="2" t="n">
        <v>5307</v>
      </c>
      <c r="U5" s="6" t="n">
        <v>0.03</v>
      </c>
      <c r="V5" s="2" t="n">
        <v>8.8</v>
      </c>
    </row>
    <row r="6" customFormat="false" ht="15" hidden="false" customHeight="false" outlineLevel="0" collapsed="false">
      <c r="A6" s="2" t="s">
        <v>22</v>
      </c>
      <c r="B6" s="3" t="n">
        <v>46300.6926041667</v>
      </c>
      <c r="C6" s="2" t="s">
        <v>35</v>
      </c>
      <c r="D6" s="2" t="s">
        <v>36</v>
      </c>
      <c r="E6" s="2" t="s">
        <v>25</v>
      </c>
      <c r="F6" s="2"/>
      <c r="G6" s="2" t="n">
        <v>2.43</v>
      </c>
      <c r="H6" s="4" t="n">
        <v>4423</v>
      </c>
      <c r="I6" s="4" t="n">
        <v>74</v>
      </c>
      <c r="J6" s="4" t="n">
        <v>44</v>
      </c>
      <c r="K6" s="2" t="n">
        <v>4</v>
      </c>
      <c r="L6" s="2" t="n">
        <v>0</v>
      </c>
      <c r="M6" s="2" t="n">
        <v>1</v>
      </c>
      <c r="N6" s="5" t="n">
        <f aca="false">IFERROR(I6/H6,"")</f>
        <v>0.0167307257517522</v>
      </c>
      <c r="O6" s="6" t="n">
        <f aca="false">IFERROR(J6/I6,"")</f>
        <v>0.594594594594595</v>
      </c>
      <c r="P6" s="7" t="n">
        <f aca="false">IFERROR(1000*J6/H6,"")</f>
        <v>9.94799909563645</v>
      </c>
      <c r="Q6" s="2" t="n">
        <v>1</v>
      </c>
      <c r="R6" s="2" t="n">
        <v>0.94</v>
      </c>
      <c r="S6" s="2" t="s">
        <v>31</v>
      </c>
      <c r="T6" s="2" t="n">
        <v>6494</v>
      </c>
      <c r="U6" s="6" t="n">
        <v>0.04</v>
      </c>
      <c r="V6" s="2" t="n">
        <v>9.4</v>
      </c>
    </row>
    <row r="7" customFormat="false" ht="15" hidden="false" customHeight="false" outlineLevel="0" collapsed="false">
      <c r="A7" s="2" t="s">
        <v>22</v>
      </c>
      <c r="B7" s="3" t="n">
        <v>46300.5934375</v>
      </c>
      <c r="C7" s="2" t="s">
        <v>37</v>
      </c>
      <c r="D7" s="2" t="s">
        <v>38</v>
      </c>
      <c r="E7" s="2" t="s">
        <v>25</v>
      </c>
      <c r="F7" s="2"/>
      <c r="G7" s="2" t="n">
        <v>2.53</v>
      </c>
      <c r="H7" s="4" t="n">
        <v>4446</v>
      </c>
      <c r="I7" s="4" t="n">
        <v>80</v>
      </c>
      <c r="J7" s="4" t="n">
        <v>40</v>
      </c>
      <c r="K7" s="2" t="n">
        <v>6</v>
      </c>
      <c r="L7" s="2" t="n">
        <v>0</v>
      </c>
      <c r="M7" s="2" t="n">
        <v>0</v>
      </c>
      <c r="N7" s="5" t="n">
        <f aca="false">IFERROR(I7/H7,"")</f>
        <v>0.0179937022042285</v>
      </c>
      <c r="O7" s="6" t="n">
        <f aca="false">IFERROR(J7/I7,"")</f>
        <v>0.5</v>
      </c>
      <c r="P7" s="7" t="n">
        <f aca="false">IFERROR(1000*J7/H7,"")</f>
        <v>8.99685110211426</v>
      </c>
      <c r="Q7" s="2" t="n">
        <v>1</v>
      </c>
      <c r="R7" s="2" t="n">
        <v>0.85</v>
      </c>
      <c r="S7" s="2" t="s">
        <v>31</v>
      </c>
      <c r="T7" s="2" t="n">
        <v>6475</v>
      </c>
      <c r="U7" s="6" t="n">
        <v>0.02</v>
      </c>
      <c r="V7" s="2" t="n">
        <v>9.2</v>
      </c>
    </row>
    <row r="8" customFormat="false" ht="15" hidden="false" customHeight="false" outlineLevel="0" collapsed="false">
      <c r="A8" s="2" t="s">
        <v>22</v>
      </c>
      <c r="B8" s="3" t="n">
        <v>46299.8977199074</v>
      </c>
      <c r="C8" s="2" t="s">
        <v>39</v>
      </c>
      <c r="D8" s="2" t="s">
        <v>40</v>
      </c>
      <c r="E8" s="2" t="s">
        <v>25</v>
      </c>
      <c r="F8" s="2"/>
      <c r="G8" s="2" t="n">
        <v>3.23</v>
      </c>
      <c r="H8" s="4" t="n">
        <v>4389</v>
      </c>
      <c r="I8" s="4" t="n">
        <v>60</v>
      </c>
      <c r="J8" s="4" t="n">
        <v>33</v>
      </c>
      <c r="K8" s="2" t="n">
        <v>3</v>
      </c>
      <c r="L8" s="2" t="n">
        <v>0</v>
      </c>
      <c r="M8" s="2" t="n">
        <v>0</v>
      </c>
      <c r="N8" s="5" t="n">
        <f aca="false">IFERROR(I8/H8,"")</f>
        <v>0.0136705399863295</v>
      </c>
      <c r="O8" s="6" t="n">
        <f aca="false">IFERROR(J8/I8,"")</f>
        <v>0.55</v>
      </c>
      <c r="P8" s="7" t="n">
        <f aca="false">IFERROR(1000*J8/H8,"")</f>
        <v>7.5187969924812</v>
      </c>
      <c r="Q8" s="2" t="n">
        <v>0.99</v>
      </c>
      <c r="R8" s="2" t="n">
        <v>0.71</v>
      </c>
      <c r="S8" s="2" t="s">
        <v>31</v>
      </c>
      <c r="T8" s="2" t="n">
        <v>5378</v>
      </c>
      <c r="U8" s="6" t="n">
        <v>0.03</v>
      </c>
      <c r="V8" s="2" t="n">
        <v>8.6</v>
      </c>
    </row>
    <row r="9" customFormat="false" ht="15" hidden="false" customHeight="false" outlineLevel="0" collapsed="false">
      <c r="A9" s="2" t="s">
        <v>22</v>
      </c>
      <c r="B9" s="3" t="n">
        <v>46299.8012847222</v>
      </c>
      <c r="C9" s="2" t="s">
        <v>41</v>
      </c>
      <c r="D9" s="2" t="s">
        <v>42</v>
      </c>
      <c r="E9" s="2" t="s">
        <v>25</v>
      </c>
      <c r="F9" s="2"/>
      <c r="G9" s="2" t="n">
        <v>3.32</v>
      </c>
      <c r="H9" s="4" t="n">
        <v>4472</v>
      </c>
      <c r="I9" s="4" t="n">
        <v>96</v>
      </c>
      <c r="J9" s="4" t="n">
        <v>52</v>
      </c>
      <c r="K9" s="2" t="n">
        <v>1</v>
      </c>
      <c r="L9" s="2" t="n">
        <v>0</v>
      </c>
      <c r="M9" s="2" t="n">
        <v>2</v>
      </c>
      <c r="N9" s="5" t="n">
        <f aca="false">IFERROR(I9/H9,"")</f>
        <v>0.0214669051878354</v>
      </c>
      <c r="O9" s="6" t="n">
        <f aca="false">IFERROR(J9/I9,"")</f>
        <v>0.541666666666667</v>
      </c>
      <c r="P9" s="7" t="n">
        <f aca="false">IFERROR(1000*J9/H9,"")</f>
        <v>11.6279069767442</v>
      </c>
      <c r="Q9" s="2" t="n">
        <v>1.01</v>
      </c>
      <c r="R9" s="2" t="n">
        <v>1.1</v>
      </c>
      <c r="S9" s="2" t="s">
        <v>31</v>
      </c>
      <c r="T9" s="2" t="n">
        <v>5484</v>
      </c>
      <c r="U9" s="6" t="n">
        <v>0.03</v>
      </c>
      <c r="V9" s="2" t="n">
        <v>8.6</v>
      </c>
    </row>
    <row r="10" customFormat="false" ht="15" hidden="false" customHeight="false" outlineLevel="0" collapsed="false">
      <c r="A10" s="2" t="s">
        <v>22</v>
      </c>
      <c r="B10" s="3" t="n">
        <v>46299.6942476852</v>
      </c>
      <c r="C10" s="2" t="s">
        <v>43</v>
      </c>
      <c r="D10" s="2" t="s">
        <v>44</v>
      </c>
      <c r="E10" s="2" t="s">
        <v>25</v>
      </c>
      <c r="F10" s="2"/>
      <c r="G10" s="2" t="n">
        <v>3.43</v>
      </c>
      <c r="H10" s="4" t="n">
        <v>4415</v>
      </c>
      <c r="I10" s="4" t="n">
        <v>57</v>
      </c>
      <c r="J10" s="4" t="n">
        <v>43</v>
      </c>
      <c r="K10" s="2" t="n">
        <v>5</v>
      </c>
      <c r="L10" s="2" t="n">
        <v>1</v>
      </c>
      <c r="M10" s="2" t="n">
        <v>0</v>
      </c>
      <c r="N10" s="5" t="n">
        <f aca="false">IFERROR(I10/H10,"")</f>
        <v>0.0129105322763307</v>
      </c>
      <c r="O10" s="6" t="n">
        <f aca="false">IFERROR(J10/I10,"")</f>
        <v>0.754385964912281</v>
      </c>
      <c r="P10" s="7" t="n">
        <f aca="false">IFERROR(1000*J10/H10,"")</f>
        <v>9.73952434881087</v>
      </c>
      <c r="Q10" s="2" t="n">
        <v>1</v>
      </c>
      <c r="R10" s="2" t="n">
        <v>0.92</v>
      </c>
      <c r="S10" s="2" t="s">
        <v>31</v>
      </c>
      <c r="T10" s="2" t="n">
        <v>4829</v>
      </c>
      <c r="U10" s="6" t="n">
        <v>0.03</v>
      </c>
      <c r="V10" s="2" t="n">
        <v>9.8</v>
      </c>
    </row>
    <row r="11" customFormat="false" ht="15" hidden="false" customHeight="false" outlineLevel="0" collapsed="false">
      <c r="A11" s="2" t="s">
        <v>22</v>
      </c>
      <c r="B11" s="3" t="n">
        <v>46298.7223726852</v>
      </c>
      <c r="C11" s="2" t="s">
        <v>45</v>
      </c>
      <c r="D11" s="2" t="s">
        <v>46</v>
      </c>
      <c r="E11" s="2" t="s">
        <v>25</v>
      </c>
      <c r="F11" s="2"/>
      <c r="G11" s="2" t="n">
        <v>4.4</v>
      </c>
      <c r="H11" s="4" t="n">
        <v>8914</v>
      </c>
      <c r="I11" s="4" t="n">
        <v>135</v>
      </c>
      <c r="J11" s="4" t="n">
        <v>67</v>
      </c>
      <c r="K11" s="2" t="n">
        <v>5</v>
      </c>
      <c r="L11" s="2" t="n">
        <v>0</v>
      </c>
      <c r="M11" s="2" t="n">
        <v>0</v>
      </c>
      <c r="N11" s="5" t="n">
        <f aca="false">IFERROR(I11/H11,"")</f>
        <v>0.0151447161768005</v>
      </c>
      <c r="O11" s="6" t="n">
        <f aca="false">IFERROR(J11/I11,"")</f>
        <v>0.496296296296296</v>
      </c>
      <c r="P11" s="7" t="n">
        <f aca="false">IFERROR(1000*J11/H11,"")</f>
        <v>7.51626654700471</v>
      </c>
      <c r="Q11" s="2" t="n">
        <v>1.02</v>
      </c>
      <c r="R11" s="2" t="n">
        <v>0.71</v>
      </c>
      <c r="S11" s="2" t="s">
        <v>31</v>
      </c>
      <c r="T11" s="2" t="n">
        <v>5261</v>
      </c>
      <c r="U11" s="6" t="n">
        <v>0.03</v>
      </c>
      <c r="V11" s="2" t="n">
        <v>10</v>
      </c>
    </row>
    <row r="12" customFormat="false" ht="15" hidden="false" customHeight="false" outlineLevel="0" collapsed="false">
      <c r="A12" s="2" t="s">
        <v>22</v>
      </c>
      <c r="B12" s="3" t="n">
        <v>46298.6357291667</v>
      </c>
      <c r="C12" s="2" t="s">
        <v>47</v>
      </c>
      <c r="D12" s="2" t="s">
        <v>48</v>
      </c>
      <c r="E12" s="2" t="s">
        <v>25</v>
      </c>
      <c r="F12" s="2"/>
      <c r="G12" s="2" t="n">
        <v>4.49</v>
      </c>
      <c r="H12" s="4" t="n">
        <v>8718</v>
      </c>
      <c r="I12" s="4" t="n">
        <v>162</v>
      </c>
      <c r="J12" s="4" t="n">
        <v>118</v>
      </c>
      <c r="K12" s="2" t="n">
        <v>2</v>
      </c>
      <c r="L12" s="2" t="n">
        <v>0</v>
      </c>
      <c r="M12" s="2" t="n">
        <v>0</v>
      </c>
      <c r="N12" s="5" t="n">
        <f aca="false">IFERROR(I12/H12,"")</f>
        <v>0.018582243633861</v>
      </c>
      <c r="O12" s="6" t="n">
        <f aca="false">IFERROR(J12/I12,"")</f>
        <v>0.728395061728395</v>
      </c>
      <c r="P12" s="7" t="n">
        <f aca="false">IFERROR(1000*J12/H12,"")</f>
        <v>13.5352144987382</v>
      </c>
      <c r="Q12" s="2" t="n">
        <v>0.99</v>
      </c>
      <c r="R12" s="2" t="n">
        <v>1.28</v>
      </c>
      <c r="S12" s="2" t="s">
        <v>31</v>
      </c>
      <c r="T12" s="2" t="n">
        <v>4836</v>
      </c>
      <c r="U12" s="6" t="n">
        <v>0.02</v>
      </c>
      <c r="V12" s="2" t="n">
        <v>8.7</v>
      </c>
    </row>
    <row r="13" customFormat="false" ht="15" hidden="false" customHeight="false" outlineLevel="0" collapsed="false">
      <c r="A13" s="2" t="s">
        <v>22</v>
      </c>
      <c r="B13" s="3" t="n">
        <v>46298.5400115741</v>
      </c>
      <c r="C13" s="2" t="s">
        <v>49</v>
      </c>
      <c r="D13" s="2" t="s">
        <v>50</v>
      </c>
      <c r="E13" s="2" t="s">
        <v>25</v>
      </c>
      <c r="F13" s="2"/>
      <c r="G13" s="2" t="n">
        <v>4.58</v>
      </c>
      <c r="H13" s="4" t="n">
        <v>8779</v>
      </c>
      <c r="I13" s="4" t="n">
        <v>107</v>
      </c>
      <c r="J13" s="4" t="n">
        <v>61</v>
      </c>
      <c r="K13" s="2" t="n">
        <v>2</v>
      </c>
      <c r="L13" s="2" t="n">
        <v>0</v>
      </c>
      <c r="M13" s="2" t="n">
        <v>0</v>
      </c>
      <c r="N13" s="5" t="n">
        <f aca="false">IFERROR(I13/H13,"")</f>
        <v>0.0121881763298781</v>
      </c>
      <c r="O13" s="6" t="n">
        <f aca="false">IFERROR(J13/I13,"")</f>
        <v>0.570093457943925</v>
      </c>
      <c r="P13" s="7" t="n">
        <f aca="false">IFERROR(1000*J13/H13,"")</f>
        <v>6.94839958993052</v>
      </c>
      <c r="Q13" s="2" t="n">
        <v>1</v>
      </c>
      <c r="R13" s="2" t="n">
        <v>0.66</v>
      </c>
      <c r="S13" s="2" t="s">
        <v>51</v>
      </c>
      <c r="T13" s="2" t="n">
        <v>5559</v>
      </c>
      <c r="U13" s="6" t="n">
        <v>0.06</v>
      </c>
      <c r="V13" s="2" t="n">
        <v>8.8</v>
      </c>
    </row>
    <row r="14" customFormat="false" ht="15" hidden="false" customHeight="false" outlineLevel="0" collapsed="false">
      <c r="A14" s="2" t="s">
        <v>22</v>
      </c>
      <c r="B14" s="3" t="n">
        <v>46297.4602546296</v>
      </c>
      <c r="C14" s="2" t="s">
        <v>52</v>
      </c>
      <c r="D14" s="2" t="s">
        <v>53</v>
      </c>
      <c r="E14" s="2" t="s">
        <v>25</v>
      </c>
      <c r="F14" s="2"/>
      <c r="G14" s="2" t="n">
        <v>5.66</v>
      </c>
      <c r="H14" s="4" t="n">
        <v>12548</v>
      </c>
      <c r="I14" s="4" t="n">
        <v>337</v>
      </c>
      <c r="J14" s="4" t="n">
        <v>228</v>
      </c>
      <c r="K14" s="2" t="n">
        <v>7</v>
      </c>
      <c r="L14" s="2" t="n">
        <v>1</v>
      </c>
      <c r="M14" s="2" t="n">
        <v>3</v>
      </c>
      <c r="N14" s="5" t="n">
        <f aca="false">IFERROR(I14/H14,"")</f>
        <v>0.0268568696206567</v>
      </c>
      <c r="O14" s="6" t="n">
        <f aca="false">IFERROR(J14/I14,"")</f>
        <v>0.676557863501484</v>
      </c>
      <c r="P14" s="7" t="n">
        <f aca="false">IFERROR(1000*J14/H14,"")</f>
        <v>18.1702263308894</v>
      </c>
      <c r="Q14" s="2" t="n">
        <v>1</v>
      </c>
      <c r="R14" s="2" t="n">
        <v>1.72</v>
      </c>
      <c r="S14" s="2" t="s">
        <v>31</v>
      </c>
      <c r="T14" s="2" t="n">
        <v>5298</v>
      </c>
      <c r="U14" s="6" t="n">
        <v>0.03</v>
      </c>
      <c r="V14" s="2" t="n">
        <v>9.7</v>
      </c>
    </row>
    <row r="15" customFormat="false" ht="15" hidden="false" customHeight="false" outlineLevel="0" collapsed="false">
      <c r="A15" s="2" t="s">
        <v>22</v>
      </c>
      <c r="B15" s="3" t="n">
        <v>46297.379212963</v>
      </c>
      <c r="C15" s="2" t="s">
        <v>54</v>
      </c>
      <c r="D15" s="2" t="s">
        <v>55</v>
      </c>
      <c r="E15" s="2" t="s">
        <v>25</v>
      </c>
      <c r="F15" s="2"/>
      <c r="G15" s="2" t="n">
        <v>5.75</v>
      </c>
      <c r="H15" s="4" t="n">
        <v>12947</v>
      </c>
      <c r="I15" s="4" t="n">
        <v>132</v>
      </c>
      <c r="J15" s="4" t="n">
        <v>47</v>
      </c>
      <c r="K15" s="2" t="n">
        <v>8</v>
      </c>
      <c r="L15" s="2" t="n">
        <v>0</v>
      </c>
      <c r="M15" s="2" t="n">
        <v>1</v>
      </c>
      <c r="N15" s="5" t="n">
        <f aca="false">IFERROR(I15/H15,"")</f>
        <v>0.0101954120645709</v>
      </c>
      <c r="O15" s="6" t="n">
        <f aca="false">IFERROR(J15/I15,"")</f>
        <v>0.356060606060606</v>
      </c>
      <c r="P15" s="7" t="n">
        <f aca="false">IFERROR(1000*J15/H15,"")</f>
        <v>3.63018459874874</v>
      </c>
      <c r="Q15" s="2" t="n">
        <v>1.03</v>
      </c>
      <c r="R15" s="2" t="n">
        <v>0.34</v>
      </c>
      <c r="S15" s="2" t="s">
        <v>51</v>
      </c>
      <c r="T15" s="2" t="n">
        <v>5285</v>
      </c>
      <c r="U15" s="6" t="n">
        <v>0.06</v>
      </c>
      <c r="V15" s="2" t="n">
        <v>8.5</v>
      </c>
    </row>
    <row r="16" customFormat="false" ht="15" hidden="false" customHeight="false" outlineLevel="0" collapsed="false">
      <c r="A16" s="2" t="s">
        <v>22</v>
      </c>
      <c r="B16" s="3" t="n">
        <v>46297.2928935185</v>
      </c>
      <c r="C16" s="2" t="s">
        <v>56</v>
      </c>
      <c r="D16" s="2" t="s">
        <v>57</v>
      </c>
      <c r="E16" s="2" t="s">
        <v>25</v>
      </c>
      <c r="F16" s="2"/>
      <c r="G16" s="2" t="n">
        <v>5.83</v>
      </c>
      <c r="H16" s="4" t="n">
        <v>12393</v>
      </c>
      <c r="I16" s="4" t="n">
        <v>129</v>
      </c>
      <c r="J16" s="4" t="n">
        <v>77</v>
      </c>
      <c r="K16" s="2" t="n">
        <v>11</v>
      </c>
      <c r="L16" s="2" t="n">
        <v>0</v>
      </c>
      <c r="M16" s="2" t="n">
        <v>1</v>
      </c>
      <c r="N16" s="5" t="n">
        <f aca="false">IFERROR(I16/H16,"")</f>
        <v>0.0104091019123699</v>
      </c>
      <c r="O16" s="6" t="n">
        <f aca="false">IFERROR(J16/I16,"")</f>
        <v>0.596899224806202</v>
      </c>
      <c r="P16" s="7" t="n">
        <f aca="false">IFERROR(1000*J16/H16,"")</f>
        <v>6.21318486242234</v>
      </c>
      <c r="Q16" s="2" t="n">
        <v>0.99</v>
      </c>
      <c r="R16" s="2" t="n">
        <v>0.59</v>
      </c>
      <c r="S16" s="2" t="s">
        <v>51</v>
      </c>
      <c r="T16" s="2" t="n">
        <v>6110</v>
      </c>
      <c r="U16" s="6" t="n">
        <v>0.03</v>
      </c>
      <c r="V16" s="2" t="n">
        <v>10.4</v>
      </c>
    </row>
    <row r="17" customFormat="false" ht="15" hidden="false" customHeight="false" outlineLevel="0" collapsed="false">
      <c r="A17" s="2" t="s">
        <v>22</v>
      </c>
      <c r="B17" s="3" t="n">
        <v>46296.3135185185</v>
      </c>
      <c r="C17" s="2" t="s">
        <v>58</v>
      </c>
      <c r="D17" s="2" t="s">
        <v>59</v>
      </c>
      <c r="E17" s="2" t="s">
        <v>25</v>
      </c>
      <c r="F17" s="2"/>
      <c r="G17" s="2" t="n">
        <v>6.81</v>
      </c>
      <c r="H17" s="4" t="n">
        <v>12582</v>
      </c>
      <c r="I17" s="4" t="n">
        <v>331</v>
      </c>
      <c r="J17" s="4" t="n">
        <v>219</v>
      </c>
      <c r="K17" s="2" t="n">
        <v>6</v>
      </c>
      <c r="L17" s="2" t="n">
        <v>0</v>
      </c>
      <c r="M17" s="2" t="n">
        <v>2</v>
      </c>
      <c r="N17" s="5" t="n">
        <f aca="false">IFERROR(I17/H17,"")</f>
        <v>0.0263074233031315</v>
      </c>
      <c r="O17" s="6" t="n">
        <f aca="false">IFERROR(J17/I17,"")</f>
        <v>0.661631419939577</v>
      </c>
      <c r="P17" s="7" t="n">
        <f aca="false">IFERROR(1000*J17/H17,"")</f>
        <v>17.4058178350024</v>
      </c>
      <c r="Q17" s="2" t="n">
        <v>0.99</v>
      </c>
      <c r="R17" s="2" t="n">
        <v>1.65</v>
      </c>
      <c r="S17" s="2" t="s">
        <v>31</v>
      </c>
      <c r="T17" s="2" t="n">
        <v>4789</v>
      </c>
      <c r="U17" s="6" t="n">
        <v>0.04</v>
      </c>
      <c r="V17" s="2" t="n">
        <v>9.6</v>
      </c>
    </row>
    <row r="18" customFormat="false" ht="15" hidden="false" customHeight="false" outlineLevel="0" collapsed="false">
      <c r="A18" s="2" t="s">
        <v>22</v>
      </c>
      <c r="B18" s="3" t="n">
        <v>46296.2099189815</v>
      </c>
      <c r="C18" s="2" t="s">
        <v>60</v>
      </c>
      <c r="D18" s="2" t="s">
        <v>61</v>
      </c>
      <c r="E18" s="2" t="s">
        <v>25</v>
      </c>
      <c r="F18" s="2"/>
      <c r="G18" s="2" t="n">
        <v>6.92</v>
      </c>
      <c r="H18" s="4" t="n">
        <v>12701</v>
      </c>
      <c r="I18" s="4" t="n">
        <v>286</v>
      </c>
      <c r="J18" s="4" t="n">
        <v>174</v>
      </c>
      <c r="K18" s="2" t="n">
        <v>3</v>
      </c>
      <c r="L18" s="2" t="n">
        <v>0</v>
      </c>
      <c r="M18" s="2" t="n">
        <v>1</v>
      </c>
      <c r="N18" s="5" t="n">
        <f aca="false">IFERROR(I18/H18,"")</f>
        <v>0.022517911975435</v>
      </c>
      <c r="O18" s="6" t="n">
        <f aca="false">IFERROR(J18/I18,"")</f>
        <v>0.608391608391608</v>
      </c>
      <c r="P18" s="7" t="n">
        <f aca="false">IFERROR(1000*J18/H18,"")</f>
        <v>13.6997086843556</v>
      </c>
      <c r="Q18" s="2" t="n">
        <v>1</v>
      </c>
      <c r="R18" s="2" t="n">
        <v>1.3</v>
      </c>
      <c r="S18" s="2" t="s">
        <v>31</v>
      </c>
      <c r="T18" s="2" t="n">
        <v>4608</v>
      </c>
      <c r="U18" s="6" t="n">
        <v>0.04</v>
      </c>
      <c r="V18" s="2" t="n">
        <v>9.6</v>
      </c>
    </row>
    <row r="19" customFormat="false" ht="15" hidden="false" customHeight="false" outlineLevel="0" collapsed="false">
      <c r="A19" s="2" t="s">
        <v>22</v>
      </c>
      <c r="B19" s="3" t="n">
        <v>46296.1258449074</v>
      </c>
      <c r="C19" s="2" t="s">
        <v>62</v>
      </c>
      <c r="D19" s="2" t="s">
        <v>63</v>
      </c>
      <c r="E19" s="2" t="s">
        <v>25</v>
      </c>
      <c r="F19" s="2"/>
      <c r="G19" s="2" t="n">
        <v>7</v>
      </c>
      <c r="H19" s="4" t="n">
        <v>13002</v>
      </c>
      <c r="I19" s="4" t="n">
        <v>126</v>
      </c>
      <c r="J19" s="4" t="n">
        <v>92</v>
      </c>
      <c r="K19" s="2" t="n">
        <v>4</v>
      </c>
      <c r="L19" s="2" t="n">
        <v>0</v>
      </c>
      <c r="M19" s="2" t="n">
        <v>1</v>
      </c>
      <c r="N19" s="5" t="n">
        <f aca="false">IFERROR(I19/H19,"")</f>
        <v>0.00969081679741578</v>
      </c>
      <c r="O19" s="6" t="n">
        <f aca="false">IFERROR(J19/I19,"")</f>
        <v>0.73015873015873</v>
      </c>
      <c r="P19" s="7" t="n">
        <f aca="false">IFERROR(1000*J19/H19,"")</f>
        <v>7.075834487002</v>
      </c>
      <c r="Q19" s="2" t="n">
        <v>1.02</v>
      </c>
      <c r="R19" s="2" t="n">
        <v>0.67</v>
      </c>
      <c r="S19" s="2" t="s">
        <v>31</v>
      </c>
      <c r="T19" s="2" t="n">
        <v>4901</v>
      </c>
      <c r="U19" s="6" t="n">
        <v>0.04</v>
      </c>
      <c r="V19" s="2" t="n">
        <v>10.1</v>
      </c>
    </row>
    <row r="20" customFormat="false" ht="15" hidden="false" customHeight="false" outlineLevel="0" collapsed="false">
      <c r="A20" s="2" t="s">
        <v>22</v>
      </c>
      <c r="B20" s="3" t="n">
        <v>46295.5015856482</v>
      </c>
      <c r="C20" s="2" t="s">
        <v>64</v>
      </c>
      <c r="D20" s="2" t="s">
        <v>65</v>
      </c>
      <c r="E20" s="2" t="s">
        <v>25</v>
      </c>
      <c r="F20" s="2"/>
      <c r="G20" s="2" t="n">
        <v>7.62</v>
      </c>
      <c r="H20" s="4" t="n">
        <v>17520</v>
      </c>
      <c r="I20" s="4" t="n">
        <v>521</v>
      </c>
      <c r="J20" s="4" t="n">
        <v>258</v>
      </c>
      <c r="K20" s="2" t="n">
        <v>8</v>
      </c>
      <c r="L20" s="2" t="n">
        <v>0</v>
      </c>
      <c r="M20" s="2" t="n">
        <v>1</v>
      </c>
      <c r="N20" s="5" t="n">
        <f aca="false">IFERROR(I20/H20,"")</f>
        <v>0.0297374429223744</v>
      </c>
      <c r="O20" s="6" t="n">
        <f aca="false">IFERROR(J20/I20,"")</f>
        <v>0.495201535508637</v>
      </c>
      <c r="P20" s="7" t="n">
        <f aca="false">IFERROR(1000*J20/H20,"")</f>
        <v>14.7260273972603</v>
      </c>
      <c r="Q20" s="2" t="n">
        <v>1</v>
      </c>
      <c r="R20" s="2" t="n">
        <v>1.4</v>
      </c>
      <c r="S20" s="2" t="s">
        <v>31</v>
      </c>
      <c r="T20" s="2" t="n">
        <v>4834</v>
      </c>
      <c r="U20" s="6" t="n">
        <v>0.04</v>
      </c>
      <c r="V20" s="2" t="n">
        <v>9</v>
      </c>
    </row>
    <row r="21" customFormat="false" ht="15" hidden="false" customHeight="false" outlineLevel="0" collapsed="false">
      <c r="A21" s="2" t="s">
        <v>22</v>
      </c>
      <c r="B21" s="3" t="n">
        <v>46295.3895486111</v>
      </c>
      <c r="C21" s="2" t="s">
        <v>66</v>
      </c>
      <c r="D21" s="2" t="s">
        <v>67</v>
      </c>
      <c r="E21" s="2" t="s">
        <v>25</v>
      </c>
      <c r="F21" s="2"/>
      <c r="G21" s="2" t="n">
        <v>7.74</v>
      </c>
      <c r="H21" s="4" t="n">
        <v>17549</v>
      </c>
      <c r="I21" s="4" t="n">
        <v>275</v>
      </c>
      <c r="J21" s="4" t="n">
        <v>116</v>
      </c>
      <c r="K21" s="2" t="n">
        <v>3</v>
      </c>
      <c r="L21" s="2" t="n">
        <v>0</v>
      </c>
      <c r="M21" s="2" t="n">
        <v>3</v>
      </c>
      <c r="N21" s="5" t="n">
        <f aca="false">IFERROR(I21/H21,"")</f>
        <v>0.0156704085702889</v>
      </c>
      <c r="O21" s="6" t="n">
        <f aca="false">IFERROR(J21/I21,"")</f>
        <v>0.421818181818182</v>
      </c>
      <c r="P21" s="7" t="n">
        <f aca="false">IFERROR(1000*J21/H21,"")</f>
        <v>6.61006325146732</v>
      </c>
      <c r="Q21" s="2" t="n">
        <v>1</v>
      </c>
      <c r="R21" s="2" t="n">
        <v>0.63</v>
      </c>
      <c r="S21" s="2" t="s">
        <v>51</v>
      </c>
      <c r="T21" s="2" t="n">
        <v>5659</v>
      </c>
      <c r="U21" s="6" t="n">
        <v>0.06</v>
      </c>
      <c r="V21" s="2" t="n">
        <v>9.2</v>
      </c>
    </row>
    <row r="22" customFormat="false" ht="15" hidden="false" customHeight="false" outlineLevel="0" collapsed="false">
      <c r="A22" s="2" t="s">
        <v>22</v>
      </c>
      <c r="B22" s="3" t="n">
        <v>46295.2935648148</v>
      </c>
      <c r="C22" s="2" t="s">
        <v>68</v>
      </c>
      <c r="D22" s="2" t="s">
        <v>69</v>
      </c>
      <c r="E22" s="2" t="s">
        <v>25</v>
      </c>
      <c r="F22" s="2"/>
      <c r="G22" s="2" t="n">
        <v>7.83</v>
      </c>
      <c r="H22" s="4" t="n">
        <v>17578</v>
      </c>
      <c r="I22" s="4" t="n">
        <v>207</v>
      </c>
      <c r="J22" s="4" t="n">
        <v>120</v>
      </c>
      <c r="K22" s="2" t="n">
        <v>4</v>
      </c>
      <c r="L22" s="2" t="n">
        <v>1</v>
      </c>
      <c r="M22" s="2" t="n">
        <v>1</v>
      </c>
      <c r="N22" s="5" t="n">
        <f aca="false">IFERROR(I22/H22,"")</f>
        <v>0.0117760837410399</v>
      </c>
      <c r="O22" s="6" t="n">
        <f aca="false">IFERROR(J22/I22,"")</f>
        <v>0.579710144927536</v>
      </c>
      <c r="P22" s="7" t="n">
        <f aca="false">IFERROR(1000*J22/H22,"")</f>
        <v>6.82671521219706</v>
      </c>
      <c r="Q22" s="2" t="n">
        <v>1</v>
      </c>
      <c r="R22" s="2" t="n">
        <v>0.65</v>
      </c>
      <c r="S22" s="2" t="s">
        <v>51</v>
      </c>
      <c r="T22" s="2" t="n">
        <v>5724</v>
      </c>
      <c r="U22" s="6" t="n">
        <v>0.03</v>
      </c>
      <c r="V22" s="2" t="n">
        <v>11</v>
      </c>
    </row>
    <row r="23" customFormat="false" ht="15" hidden="false" customHeight="false" outlineLevel="0" collapsed="false">
      <c r="A23" s="2" t="s">
        <v>22</v>
      </c>
      <c r="B23" s="3" t="n">
        <v>46294.5010648148</v>
      </c>
      <c r="C23" s="2" t="s">
        <v>70</v>
      </c>
      <c r="D23" s="2" t="s">
        <v>71</v>
      </c>
      <c r="E23" s="2" t="s">
        <v>25</v>
      </c>
      <c r="F23" s="2"/>
      <c r="G23" s="2" t="n">
        <v>8.62</v>
      </c>
      <c r="H23" s="4" t="n">
        <v>18082</v>
      </c>
      <c r="I23" s="4" t="n">
        <v>243</v>
      </c>
      <c r="J23" s="4" t="n">
        <v>153</v>
      </c>
      <c r="K23" s="2" t="n">
        <v>7</v>
      </c>
      <c r="L23" s="2" t="n">
        <v>1</v>
      </c>
      <c r="M23" s="2" t="n">
        <v>2</v>
      </c>
      <c r="N23" s="5" t="n">
        <f aca="false">IFERROR(I23/H23,"")</f>
        <v>0.0134387788961398</v>
      </c>
      <c r="O23" s="6" t="n">
        <f aca="false">IFERROR(J23/I23,"")</f>
        <v>0.62962962962963</v>
      </c>
      <c r="P23" s="7" t="n">
        <f aca="false">IFERROR(1000*J23/H23,"")</f>
        <v>8.46145337905099</v>
      </c>
      <c r="Q23" s="2" t="n">
        <v>1</v>
      </c>
      <c r="R23" s="2" t="n">
        <v>0.8</v>
      </c>
      <c r="S23" s="2" t="s">
        <v>31</v>
      </c>
      <c r="T23" s="2" t="n">
        <v>4753</v>
      </c>
      <c r="U23" s="6" t="n">
        <v>0</v>
      </c>
      <c r="V23" s="2" t="n">
        <v>10.2</v>
      </c>
    </row>
    <row r="24" customFormat="false" ht="15" hidden="false" customHeight="false" outlineLevel="0" collapsed="false">
      <c r="A24" s="2" t="s">
        <v>22</v>
      </c>
      <c r="B24" s="3" t="n">
        <v>46294.3968287037</v>
      </c>
      <c r="C24" s="2" t="s">
        <v>72</v>
      </c>
      <c r="D24" s="2" t="s">
        <v>73</v>
      </c>
      <c r="E24" s="2" t="s">
        <v>25</v>
      </c>
      <c r="F24" s="2"/>
      <c r="G24" s="2" t="n">
        <v>8.73</v>
      </c>
      <c r="H24" s="4" t="n">
        <v>17943</v>
      </c>
      <c r="I24" s="4" t="n">
        <v>297</v>
      </c>
      <c r="J24" s="4" t="n">
        <v>201</v>
      </c>
      <c r="K24" s="2" t="n">
        <v>5</v>
      </c>
      <c r="L24" s="2" t="n">
        <v>0</v>
      </c>
      <c r="M24" s="2" t="n">
        <v>2</v>
      </c>
      <c r="N24" s="5" t="n">
        <f aca="false">IFERROR(I24/H24,"")</f>
        <v>0.0165524159839492</v>
      </c>
      <c r="O24" s="6" t="n">
        <f aca="false">IFERROR(J24/I24,"")</f>
        <v>0.676767676767677</v>
      </c>
      <c r="P24" s="7" t="n">
        <f aca="false">IFERROR(1000*J24/H24,"")</f>
        <v>11.2021401103494</v>
      </c>
      <c r="Q24" s="2" t="n">
        <v>0.99</v>
      </c>
      <c r="R24" s="2" t="n">
        <v>1.06</v>
      </c>
      <c r="S24" s="2" t="s">
        <v>31</v>
      </c>
      <c r="T24" s="2" t="n">
        <v>5079</v>
      </c>
      <c r="U24" s="6" t="n">
        <v>0.03</v>
      </c>
      <c r="V24" s="2" t="n">
        <v>9.7</v>
      </c>
    </row>
    <row r="25" customFormat="false" ht="15" hidden="false" customHeight="false" outlineLevel="0" collapsed="false">
      <c r="A25" s="2" t="s">
        <v>22</v>
      </c>
      <c r="B25" s="3" t="n">
        <v>46294.2934259259</v>
      </c>
      <c r="C25" s="2" t="s">
        <v>74</v>
      </c>
      <c r="D25" s="2" t="s">
        <v>75</v>
      </c>
      <c r="E25" s="2" t="s">
        <v>25</v>
      </c>
      <c r="F25" s="2"/>
      <c r="G25" s="2" t="n">
        <v>8.83</v>
      </c>
      <c r="H25" s="4" t="n">
        <v>18178</v>
      </c>
      <c r="I25" s="4" t="n">
        <v>674</v>
      </c>
      <c r="J25" s="4" t="n">
        <v>478</v>
      </c>
      <c r="K25" s="2" t="n">
        <v>21</v>
      </c>
      <c r="L25" s="2" t="n">
        <v>1</v>
      </c>
      <c r="M25" s="2" t="n">
        <v>7</v>
      </c>
      <c r="N25" s="5" t="n">
        <f aca="false">IFERROR(I25/H25,"")</f>
        <v>0.0370777863351304</v>
      </c>
      <c r="O25" s="6" t="n">
        <f aca="false">IFERROR(J25/I25,"")</f>
        <v>0.70919881305638</v>
      </c>
      <c r="P25" s="7" t="n">
        <f aca="false">IFERROR(1000*J25/H25,"")</f>
        <v>26.2955220596325</v>
      </c>
      <c r="Q25" s="2" t="n">
        <v>1.01</v>
      </c>
      <c r="R25" s="2" t="n">
        <v>2.49</v>
      </c>
      <c r="S25" s="2" t="s">
        <v>34</v>
      </c>
      <c r="T25" s="2" t="n">
        <v>4853</v>
      </c>
      <c r="U25" s="6" t="n">
        <v>0.03</v>
      </c>
      <c r="V25" s="2" t="n">
        <v>9.9</v>
      </c>
    </row>
    <row r="26" customFormat="false" ht="15" hidden="false" customHeight="false" outlineLevel="0" collapsed="false">
      <c r="A26" s="2" t="s">
        <v>22</v>
      </c>
      <c r="B26" s="3" t="n">
        <v>46293.5145486111</v>
      </c>
      <c r="C26" s="2" t="s">
        <v>76</v>
      </c>
      <c r="D26" s="2" t="s">
        <v>77</v>
      </c>
      <c r="E26" s="2" t="s">
        <v>25</v>
      </c>
      <c r="F26" s="2"/>
      <c r="G26" s="2" t="n">
        <v>9.61</v>
      </c>
      <c r="H26" s="4" t="n">
        <v>22448</v>
      </c>
      <c r="I26" s="4" t="n">
        <v>389</v>
      </c>
      <c r="J26" s="4" t="n">
        <v>216</v>
      </c>
      <c r="K26" s="2" t="n">
        <v>7</v>
      </c>
      <c r="L26" s="2" t="n">
        <v>0</v>
      </c>
      <c r="M26" s="2" t="n">
        <v>1</v>
      </c>
      <c r="N26" s="5" t="n">
        <f aca="false">IFERROR(I26/H26,"")</f>
        <v>0.0173289379900214</v>
      </c>
      <c r="O26" s="6" t="n">
        <f aca="false">IFERROR(J26/I26,"")</f>
        <v>0.555269922879177</v>
      </c>
      <c r="P26" s="7" t="n">
        <f aca="false">IFERROR(1000*J26/H26,"")</f>
        <v>9.62223806129722</v>
      </c>
      <c r="Q26" s="2" t="n">
        <v>1</v>
      </c>
      <c r="R26" s="2" t="n">
        <v>0.91</v>
      </c>
      <c r="S26" s="2" t="s">
        <v>31</v>
      </c>
      <c r="T26" s="2" t="n">
        <v>5619</v>
      </c>
      <c r="U26" s="6" t="n">
        <v>0.03</v>
      </c>
      <c r="V26" s="2" t="n">
        <v>10.1</v>
      </c>
    </row>
    <row r="27" customFormat="false" ht="15" hidden="false" customHeight="false" outlineLevel="0" collapsed="false">
      <c r="A27" s="2" t="s">
        <v>22</v>
      </c>
      <c r="B27" s="3" t="n">
        <v>46293.4400578704</v>
      </c>
      <c r="C27" s="2" t="s">
        <v>78</v>
      </c>
      <c r="D27" s="2" t="s">
        <v>79</v>
      </c>
      <c r="E27" s="2" t="s">
        <v>25</v>
      </c>
      <c r="F27" s="2"/>
      <c r="G27" s="2" t="n">
        <v>9.68</v>
      </c>
      <c r="H27" s="4" t="n">
        <v>22185</v>
      </c>
      <c r="I27" s="4" t="n">
        <v>573</v>
      </c>
      <c r="J27" s="4" t="n">
        <v>332</v>
      </c>
      <c r="K27" s="2" t="n">
        <v>16</v>
      </c>
      <c r="L27" s="2" t="n">
        <v>1</v>
      </c>
      <c r="M27" s="2" t="n">
        <v>3</v>
      </c>
      <c r="N27" s="5" t="n">
        <f aca="false">IFERROR(I27/H27,"")</f>
        <v>0.0258282623394185</v>
      </c>
      <c r="O27" s="6" t="n">
        <f aca="false">IFERROR(J27/I27,"")</f>
        <v>0.579406631762653</v>
      </c>
      <c r="P27" s="7" t="n">
        <f aca="false">IFERROR(1000*J27/H27,"")</f>
        <v>14.9650664863647</v>
      </c>
      <c r="Q27" s="2" t="n">
        <v>0.99</v>
      </c>
      <c r="R27" s="2" t="n">
        <v>1.42</v>
      </c>
      <c r="S27" s="2" t="s">
        <v>31</v>
      </c>
      <c r="T27" s="2" t="n">
        <v>5972</v>
      </c>
      <c r="U27" s="6" t="n">
        <v>0.03</v>
      </c>
      <c r="V27" s="2" t="n">
        <v>9.7</v>
      </c>
    </row>
    <row r="28" customFormat="false" ht="15" hidden="false" customHeight="false" outlineLevel="0" collapsed="false">
      <c r="A28" s="2" t="s">
        <v>22</v>
      </c>
      <c r="B28" s="3" t="n">
        <v>46293.339525463</v>
      </c>
      <c r="C28" s="2" t="s">
        <v>80</v>
      </c>
      <c r="D28" s="2" t="s">
        <v>81</v>
      </c>
      <c r="E28" s="2" t="s">
        <v>25</v>
      </c>
      <c r="F28" s="2"/>
      <c r="G28" s="2" t="n">
        <v>9.79</v>
      </c>
      <c r="H28" s="4" t="n">
        <v>22342</v>
      </c>
      <c r="I28" s="4" t="n">
        <v>829</v>
      </c>
      <c r="J28" s="4" t="n">
        <v>626</v>
      </c>
      <c r="K28" s="2" t="n">
        <v>21</v>
      </c>
      <c r="L28" s="2" t="n">
        <v>5</v>
      </c>
      <c r="M28" s="2" t="n">
        <v>6</v>
      </c>
      <c r="N28" s="5" t="n">
        <f aca="false">IFERROR(I28/H28,"")</f>
        <v>0.0371050040282875</v>
      </c>
      <c r="O28" s="6" t="n">
        <f aca="false">IFERROR(J28/I28,"")</f>
        <v>0.755126658624849</v>
      </c>
      <c r="P28" s="7" t="n">
        <f aca="false">IFERROR(1000*J28/H28,"")</f>
        <v>28.0189777101423</v>
      </c>
      <c r="Q28" s="2" t="n">
        <v>1</v>
      </c>
      <c r="R28" s="2" t="n">
        <v>2.65</v>
      </c>
      <c r="S28" s="2" t="s">
        <v>34</v>
      </c>
      <c r="T28" s="2" t="n">
        <v>4532</v>
      </c>
      <c r="U28" s="6" t="n">
        <v>0.03</v>
      </c>
      <c r="V28" s="2" t="n">
        <v>11.7</v>
      </c>
    </row>
    <row r="29" customFormat="false" ht="15" hidden="false" customHeight="false" outlineLevel="0" collapsed="false">
      <c r="A29" s="2" t="s">
        <v>22</v>
      </c>
      <c r="B29" s="3" t="n">
        <v>46292.5513773148</v>
      </c>
      <c r="C29" s="2" t="s">
        <v>82</v>
      </c>
      <c r="D29" s="2" t="s">
        <v>83</v>
      </c>
      <c r="E29" s="2" t="s">
        <v>25</v>
      </c>
      <c r="F29" s="2"/>
      <c r="G29" s="2" t="n">
        <v>10.57</v>
      </c>
      <c r="H29" s="4" t="n">
        <v>23226</v>
      </c>
      <c r="I29" s="4" t="n">
        <v>330</v>
      </c>
      <c r="J29" s="4" t="n">
        <v>232</v>
      </c>
      <c r="K29" s="2" t="n">
        <v>12</v>
      </c>
      <c r="L29" s="2" t="n">
        <v>1</v>
      </c>
      <c r="M29" s="2" t="n">
        <v>5</v>
      </c>
      <c r="N29" s="5" t="n">
        <f aca="false">IFERROR(I29/H29,"")</f>
        <v>0.0142082149315422</v>
      </c>
      <c r="O29" s="6" t="n">
        <f aca="false">IFERROR(J29/I29,"")</f>
        <v>0.703030303030303</v>
      </c>
      <c r="P29" s="7" t="n">
        <f aca="false">IFERROR(1000*J29/H29,"")</f>
        <v>9.98880564884182</v>
      </c>
      <c r="Q29" s="2" t="n">
        <v>0.99</v>
      </c>
      <c r="R29" s="2" t="n">
        <v>0.95</v>
      </c>
      <c r="S29" s="2" t="s">
        <v>31</v>
      </c>
      <c r="T29" s="2" t="n">
        <v>5387</v>
      </c>
      <c r="U29" s="6" t="n">
        <v>0.03</v>
      </c>
      <c r="V29" s="2" t="n">
        <v>8.8</v>
      </c>
    </row>
    <row r="30" customFormat="false" ht="15" hidden="false" customHeight="false" outlineLevel="0" collapsed="false">
      <c r="A30" s="2" t="s">
        <v>22</v>
      </c>
      <c r="B30" s="3" t="n">
        <v>46292.4640740741</v>
      </c>
      <c r="C30" s="2" t="s">
        <v>84</v>
      </c>
      <c r="D30" s="2" t="s">
        <v>85</v>
      </c>
      <c r="E30" s="2" t="s">
        <v>25</v>
      </c>
      <c r="F30" s="2"/>
      <c r="G30" s="2" t="n">
        <v>10.66</v>
      </c>
      <c r="H30" s="4" t="n">
        <v>23566</v>
      </c>
      <c r="I30" s="4" t="n">
        <v>251</v>
      </c>
      <c r="J30" s="4" t="n">
        <v>141</v>
      </c>
      <c r="K30" s="2" t="n">
        <v>5</v>
      </c>
      <c r="L30" s="2" t="n">
        <v>0</v>
      </c>
      <c r="M30" s="2" t="n">
        <v>2</v>
      </c>
      <c r="N30" s="5" t="n">
        <f aca="false">IFERROR(I30/H30,"")</f>
        <v>0.0106509377917339</v>
      </c>
      <c r="O30" s="6" t="n">
        <f aca="false">IFERROR(J30/I30,"")</f>
        <v>0.561752988047809</v>
      </c>
      <c r="P30" s="7" t="n">
        <f aca="false">IFERROR(1000*J30/H30,"")</f>
        <v>5.98319613001782</v>
      </c>
      <c r="Q30" s="2" t="n">
        <v>1</v>
      </c>
      <c r="R30" s="2" t="n">
        <v>0.57</v>
      </c>
      <c r="S30" s="2" t="s">
        <v>51</v>
      </c>
      <c r="T30" s="2" t="n">
        <v>4685</v>
      </c>
      <c r="U30" s="6" t="n">
        <v>0.03</v>
      </c>
      <c r="V30" s="2" t="n">
        <v>9.5</v>
      </c>
    </row>
    <row r="31" customFormat="false" ht="15" hidden="false" customHeight="false" outlineLevel="0" collapsed="false">
      <c r="A31" s="2" t="s">
        <v>22</v>
      </c>
      <c r="B31" s="3" t="n">
        <v>46292.3350694445</v>
      </c>
      <c r="C31" s="2" t="s">
        <v>86</v>
      </c>
      <c r="D31" s="2" t="s">
        <v>87</v>
      </c>
      <c r="E31" s="2" t="s">
        <v>25</v>
      </c>
      <c r="F31" s="2"/>
      <c r="G31" s="2" t="n">
        <v>10.79</v>
      </c>
      <c r="H31" s="4" t="n">
        <v>23765</v>
      </c>
      <c r="I31" s="4" t="n">
        <v>1378</v>
      </c>
      <c r="J31" s="4" t="n">
        <v>1044</v>
      </c>
      <c r="K31" s="2" t="n">
        <v>19</v>
      </c>
      <c r="L31" s="2" t="n">
        <v>3</v>
      </c>
      <c r="M31" s="2" t="n">
        <v>4</v>
      </c>
      <c r="N31" s="5" t="n">
        <f aca="false">IFERROR(I31/H31,"")</f>
        <v>0.0579844308857564</v>
      </c>
      <c r="O31" s="6" t="n">
        <f aca="false">IFERROR(J31/I31,"")</f>
        <v>0.757619738751814</v>
      </c>
      <c r="P31" s="7" t="n">
        <f aca="false">IFERROR(1000*J31/H31,"")</f>
        <v>43.9301493793394</v>
      </c>
      <c r="Q31" s="2" t="n">
        <v>1.01</v>
      </c>
      <c r="R31" s="2" t="n">
        <v>4.16</v>
      </c>
      <c r="S31" s="2" t="s">
        <v>34</v>
      </c>
      <c r="T31" s="2" t="n">
        <v>5439</v>
      </c>
      <c r="U31" s="6" t="n">
        <v>0.03</v>
      </c>
      <c r="V31" s="2" t="n">
        <v>9</v>
      </c>
    </row>
    <row r="32" customFormat="false" ht="15" hidden="false" customHeight="false" outlineLevel="0" collapsed="false">
      <c r="A32" s="2" t="s">
        <v>22</v>
      </c>
      <c r="B32" s="3" t="n">
        <v>46291.3976851852</v>
      </c>
      <c r="C32" s="2" t="s">
        <v>88</v>
      </c>
      <c r="D32" s="2" t="s">
        <v>89</v>
      </c>
      <c r="E32" s="2" t="s">
        <v>25</v>
      </c>
      <c r="F32" s="2"/>
      <c r="G32" s="2" t="n">
        <v>11.73</v>
      </c>
      <c r="H32" s="4" t="n">
        <v>22369</v>
      </c>
      <c r="I32" s="4" t="n">
        <v>221</v>
      </c>
      <c r="J32" s="4" t="n">
        <v>130</v>
      </c>
      <c r="K32" s="2" t="n">
        <v>12</v>
      </c>
      <c r="L32" s="2" t="n">
        <v>1</v>
      </c>
      <c r="M32" s="2" t="n">
        <v>3</v>
      </c>
      <c r="N32" s="5" t="n">
        <f aca="false">IFERROR(I32/H32,"")</f>
        <v>0.00987974428897134</v>
      </c>
      <c r="O32" s="6" t="n">
        <f aca="false">IFERROR(J32/I32,"")</f>
        <v>0.588235294117647</v>
      </c>
      <c r="P32" s="7" t="n">
        <f aca="false">IFERROR(1000*J32/H32,"")</f>
        <v>5.8116142876302</v>
      </c>
      <c r="Q32" s="2" t="n">
        <v>1</v>
      </c>
      <c r="R32" s="2" t="n">
        <v>0.55</v>
      </c>
      <c r="S32" s="2" t="s">
        <v>51</v>
      </c>
      <c r="T32" s="2" t="n">
        <v>5225</v>
      </c>
      <c r="U32" s="6" t="n">
        <v>0.03</v>
      </c>
      <c r="V32" s="2" t="n">
        <v>9.1</v>
      </c>
    </row>
    <row r="33" customFormat="false" ht="15" hidden="false" customHeight="false" outlineLevel="0" collapsed="false">
      <c r="A33" s="2" t="s">
        <v>22</v>
      </c>
      <c r="B33" s="3" t="n">
        <v>46291.2981712963</v>
      </c>
      <c r="C33" s="2" t="s">
        <v>90</v>
      </c>
      <c r="D33" s="2" t="s">
        <v>91</v>
      </c>
      <c r="E33" s="2" t="s">
        <v>25</v>
      </c>
      <c r="F33" s="2"/>
      <c r="G33" s="2" t="n">
        <v>11.83</v>
      </c>
      <c r="H33" s="4" t="n">
        <v>22471</v>
      </c>
      <c r="I33" s="4" t="n">
        <v>537</v>
      </c>
      <c r="J33" s="4" t="n">
        <v>389</v>
      </c>
      <c r="K33" s="2" t="n">
        <v>12</v>
      </c>
      <c r="L33" s="2" t="n">
        <v>3</v>
      </c>
      <c r="M33" s="2" t="n">
        <v>2</v>
      </c>
      <c r="N33" s="5" t="n">
        <f aca="false">IFERROR(I33/H33,"")</f>
        <v>0.0238974678474478</v>
      </c>
      <c r="O33" s="6" t="n">
        <f aca="false">IFERROR(J33/I33,"")</f>
        <v>0.7243947858473</v>
      </c>
      <c r="P33" s="7" t="n">
        <f aca="false">IFERROR(1000*J33/H33,"")</f>
        <v>17.3112011036447</v>
      </c>
      <c r="Q33" s="2" t="n">
        <v>1</v>
      </c>
      <c r="R33" s="2" t="n">
        <v>1.64</v>
      </c>
      <c r="S33" s="2" t="s">
        <v>31</v>
      </c>
      <c r="T33" s="2" t="n">
        <v>4999</v>
      </c>
      <c r="U33" s="6" t="n">
        <v>0.03</v>
      </c>
      <c r="V33" s="2" t="n">
        <v>10.1</v>
      </c>
    </row>
    <row r="34" customFormat="false" ht="15" hidden="false" customHeight="false" outlineLevel="0" collapsed="false">
      <c r="A34" s="2" t="s">
        <v>22</v>
      </c>
      <c r="B34" s="3" t="n">
        <v>46290.5046527778</v>
      </c>
      <c r="C34" s="2" t="s">
        <v>92</v>
      </c>
      <c r="D34" s="2" t="s">
        <v>93</v>
      </c>
      <c r="E34" s="2" t="s">
        <v>25</v>
      </c>
      <c r="F34" s="2"/>
      <c r="G34" s="2" t="n">
        <v>12.62</v>
      </c>
      <c r="H34" s="4" t="n">
        <v>27233</v>
      </c>
      <c r="I34" s="4" t="n">
        <v>538</v>
      </c>
      <c r="J34" s="4" t="n">
        <v>367</v>
      </c>
      <c r="K34" s="2" t="n">
        <v>13</v>
      </c>
      <c r="L34" s="2" t="n">
        <v>1</v>
      </c>
      <c r="M34" s="2" t="n">
        <v>8</v>
      </c>
      <c r="N34" s="5" t="n">
        <f aca="false">IFERROR(I34/H34,"")</f>
        <v>0.0197554437630816</v>
      </c>
      <c r="O34" s="6" t="n">
        <f aca="false">IFERROR(J34/I34,"")</f>
        <v>0.682156133828996</v>
      </c>
      <c r="P34" s="7" t="n">
        <f aca="false">IFERROR(1000*J34/H34,"")</f>
        <v>13.4762971394999</v>
      </c>
      <c r="Q34" s="2" t="n">
        <v>1</v>
      </c>
      <c r="R34" s="2" t="n">
        <v>1.28</v>
      </c>
      <c r="S34" s="2" t="s">
        <v>31</v>
      </c>
      <c r="T34" s="2" t="n">
        <v>5301</v>
      </c>
      <c r="U34" s="6" t="n">
        <v>0.03</v>
      </c>
      <c r="V34" s="2" t="n">
        <v>10.2</v>
      </c>
    </row>
    <row r="35" customFormat="false" ht="15" hidden="false" customHeight="false" outlineLevel="0" collapsed="false">
      <c r="A35" s="2" t="s">
        <v>22</v>
      </c>
      <c r="B35" s="3" t="n">
        <v>46290.3757986111</v>
      </c>
      <c r="C35" s="2" t="s">
        <v>94</v>
      </c>
      <c r="D35" s="2" t="s">
        <v>95</v>
      </c>
      <c r="E35" s="2" t="s">
        <v>25</v>
      </c>
      <c r="F35" s="2"/>
      <c r="G35" s="2" t="n">
        <v>12.75</v>
      </c>
      <c r="H35" s="4" t="n">
        <v>27306</v>
      </c>
      <c r="I35" s="4" t="n">
        <v>417</v>
      </c>
      <c r="J35" s="4" t="n">
        <v>277</v>
      </c>
      <c r="K35" s="2" t="n">
        <v>11</v>
      </c>
      <c r="L35" s="2" t="n">
        <v>0</v>
      </c>
      <c r="M35" s="2" t="n">
        <v>3</v>
      </c>
      <c r="N35" s="5" t="n">
        <f aca="false">IFERROR(I35/H35,"")</f>
        <v>0.0152713689299055</v>
      </c>
      <c r="O35" s="6" t="n">
        <f aca="false">IFERROR(J35/I35,"")</f>
        <v>0.664268585131895</v>
      </c>
      <c r="P35" s="7" t="n">
        <f aca="false">IFERROR(1000*J35/H35,"")</f>
        <v>10.1442906320955</v>
      </c>
      <c r="Q35" s="2" t="n">
        <v>1</v>
      </c>
      <c r="R35" s="2" t="n">
        <v>0.96</v>
      </c>
      <c r="S35" s="2" t="s">
        <v>31</v>
      </c>
      <c r="T35" s="2" t="n">
        <v>5613</v>
      </c>
      <c r="U35" s="6" t="n">
        <v>0.03</v>
      </c>
      <c r="V35" s="2" t="n">
        <v>9.5</v>
      </c>
    </row>
    <row r="36" customFormat="false" ht="15" hidden="false" customHeight="false" outlineLevel="0" collapsed="false">
      <c r="A36" s="2" t="s">
        <v>22</v>
      </c>
      <c r="B36" s="3" t="n">
        <v>46290.2509606482</v>
      </c>
      <c r="C36" s="2" t="s">
        <v>96</v>
      </c>
      <c r="D36" s="2" t="s">
        <v>97</v>
      </c>
      <c r="E36" s="2" t="s">
        <v>25</v>
      </c>
      <c r="F36" s="2"/>
      <c r="G36" s="2" t="n">
        <v>12.87</v>
      </c>
      <c r="H36" s="4" t="n">
        <v>27326</v>
      </c>
      <c r="I36" s="4" t="n">
        <v>450</v>
      </c>
      <c r="J36" s="4" t="n">
        <v>310</v>
      </c>
      <c r="K36" s="2" t="n">
        <v>4</v>
      </c>
      <c r="L36" s="2" t="n">
        <v>0</v>
      </c>
      <c r="M36" s="2" t="n">
        <v>5</v>
      </c>
      <c r="N36" s="5" t="n">
        <f aca="false">IFERROR(I36/H36,"")</f>
        <v>0.0164678328331992</v>
      </c>
      <c r="O36" s="6" t="n">
        <f aca="false">IFERROR(J36/I36,"")</f>
        <v>0.688888888888889</v>
      </c>
      <c r="P36" s="7" t="n">
        <f aca="false">IFERROR(1000*J36/H36,"")</f>
        <v>11.3445070628705</v>
      </c>
      <c r="Q36" s="2" t="n">
        <v>1</v>
      </c>
      <c r="R36" s="2" t="n">
        <v>1.07</v>
      </c>
      <c r="S36" s="2" t="s">
        <v>31</v>
      </c>
      <c r="T36" s="2" t="n">
        <v>5321</v>
      </c>
      <c r="U36" s="6" t="n">
        <v>0</v>
      </c>
      <c r="V36" s="2" t="n">
        <v>9.8</v>
      </c>
    </row>
    <row r="37" customFormat="false" ht="15" hidden="false" customHeight="false" outlineLevel="0" collapsed="false">
      <c r="A37" s="2" t="s">
        <v>22</v>
      </c>
      <c r="B37" s="3" t="n">
        <v>46289.6265625</v>
      </c>
      <c r="C37" s="2" t="s">
        <v>98</v>
      </c>
      <c r="D37" s="2" t="s">
        <v>99</v>
      </c>
      <c r="E37" s="2" t="s">
        <v>25</v>
      </c>
      <c r="F37" s="2"/>
      <c r="G37" s="2" t="n">
        <v>13.5</v>
      </c>
      <c r="H37" s="4" t="n">
        <v>27718</v>
      </c>
      <c r="I37" s="4" t="n">
        <v>347</v>
      </c>
      <c r="J37" s="4" t="n">
        <v>189</v>
      </c>
      <c r="K37" s="2" t="n">
        <v>8</v>
      </c>
      <c r="L37" s="2" t="n">
        <v>0</v>
      </c>
      <c r="M37" s="2" t="n">
        <v>5</v>
      </c>
      <c r="N37" s="5" t="n">
        <f aca="false">IFERROR(I37/H37,"")</f>
        <v>0.0125189407605166</v>
      </c>
      <c r="O37" s="6" t="n">
        <f aca="false">IFERROR(J37/I37,"")</f>
        <v>0.544668587896254</v>
      </c>
      <c r="P37" s="7" t="n">
        <f aca="false">IFERROR(1000*J37/H37,"")</f>
        <v>6.81867378598745</v>
      </c>
      <c r="Q37" s="2" t="n">
        <v>1.01</v>
      </c>
      <c r="R37" s="2" t="n">
        <v>0.65</v>
      </c>
      <c r="S37" s="2" t="s">
        <v>51</v>
      </c>
      <c r="T37" s="2" t="n">
        <v>6449</v>
      </c>
      <c r="U37" s="6" t="n">
        <v>0</v>
      </c>
      <c r="V37" s="2" t="n">
        <v>10.1</v>
      </c>
    </row>
    <row r="38" customFormat="false" ht="15" hidden="false" customHeight="false" outlineLevel="0" collapsed="false">
      <c r="A38" s="2" t="s">
        <v>22</v>
      </c>
      <c r="B38" s="3" t="n">
        <v>46289.5428240741</v>
      </c>
      <c r="C38" s="2" t="s">
        <v>100</v>
      </c>
      <c r="D38" s="2" t="s">
        <v>101</v>
      </c>
      <c r="E38" s="2" t="s">
        <v>25</v>
      </c>
      <c r="F38" s="2"/>
      <c r="G38" s="2" t="n">
        <v>13.58</v>
      </c>
      <c r="H38" s="4" t="n">
        <v>27163</v>
      </c>
      <c r="I38" s="4" t="n">
        <v>417</v>
      </c>
      <c r="J38" s="4" t="n">
        <v>225</v>
      </c>
      <c r="K38" s="2" t="n">
        <v>9</v>
      </c>
      <c r="L38" s="2" t="n">
        <v>1</v>
      </c>
      <c r="M38" s="2" t="n">
        <v>3</v>
      </c>
      <c r="N38" s="5" t="n">
        <f aca="false">IFERROR(I38/H38,"")</f>
        <v>0.015351765268932</v>
      </c>
      <c r="O38" s="6" t="n">
        <f aca="false">IFERROR(J38/I38,"")</f>
        <v>0.539568345323741</v>
      </c>
      <c r="P38" s="7" t="n">
        <f aca="false">IFERROR(1000*J38/H38,"")</f>
        <v>8.28332658395612</v>
      </c>
      <c r="Q38" s="2" t="n">
        <v>0.99</v>
      </c>
      <c r="R38" s="2" t="n">
        <v>0.78</v>
      </c>
      <c r="S38" s="2" t="s">
        <v>31</v>
      </c>
      <c r="T38" s="2" t="n">
        <v>5997</v>
      </c>
      <c r="U38" s="6" t="n">
        <v>0</v>
      </c>
      <c r="V38" s="2" t="n">
        <v>9.7</v>
      </c>
    </row>
    <row r="39" customFormat="false" ht="15" hidden="false" customHeight="false" outlineLevel="0" collapsed="false">
      <c r="A39" s="2" t="s">
        <v>22</v>
      </c>
      <c r="B39" s="3" t="n">
        <v>46289.4609722222</v>
      </c>
      <c r="C39" s="2" t="s">
        <v>102</v>
      </c>
      <c r="D39" s="2" t="s">
        <v>103</v>
      </c>
      <c r="E39" s="2" t="s">
        <v>25</v>
      </c>
      <c r="F39" s="2"/>
      <c r="G39" s="2" t="n">
        <v>13.66</v>
      </c>
      <c r="H39" s="4" t="n">
        <v>27562</v>
      </c>
      <c r="I39" s="4" t="n">
        <v>634</v>
      </c>
      <c r="J39" s="4" t="n">
        <v>401</v>
      </c>
      <c r="K39" s="2" t="n">
        <v>17</v>
      </c>
      <c r="L39" s="2" t="n">
        <v>0</v>
      </c>
      <c r="M39" s="2" t="n">
        <v>1</v>
      </c>
      <c r="N39" s="5" t="n">
        <f aca="false">IFERROR(I39/H39,"")</f>
        <v>0.0230026848559611</v>
      </c>
      <c r="O39" s="6" t="n">
        <f aca="false">IFERROR(J39/I39,"")</f>
        <v>0.632492113564669</v>
      </c>
      <c r="P39" s="7" t="n">
        <f aca="false">IFERROR(1000*J39/H39,"")</f>
        <v>14.5490167622088</v>
      </c>
      <c r="Q39" s="2" t="n">
        <v>1</v>
      </c>
      <c r="R39" s="2" t="n">
        <v>1.38</v>
      </c>
      <c r="S39" s="2" t="s">
        <v>31</v>
      </c>
      <c r="T39" s="2" t="n">
        <v>5676</v>
      </c>
      <c r="U39" s="6" t="n">
        <v>0</v>
      </c>
      <c r="V39" s="2" t="n">
        <v>10</v>
      </c>
    </row>
    <row r="40" customFormat="false" ht="15" hidden="false" customHeight="false" outlineLevel="0" collapsed="false">
      <c r="A40" s="2" t="s">
        <v>22</v>
      </c>
      <c r="B40" s="3" t="n">
        <v>46289.3765625</v>
      </c>
      <c r="C40" s="2" t="s">
        <v>104</v>
      </c>
      <c r="D40" s="2" t="s">
        <v>105</v>
      </c>
      <c r="E40" s="2" t="s">
        <v>25</v>
      </c>
      <c r="F40" s="2"/>
      <c r="G40" s="2" t="n">
        <v>13.75</v>
      </c>
      <c r="H40" s="4" t="n">
        <v>27540</v>
      </c>
      <c r="I40" s="4" t="n">
        <v>454</v>
      </c>
      <c r="J40" s="4" t="n">
        <v>302</v>
      </c>
      <c r="K40" s="2" t="n">
        <v>14</v>
      </c>
      <c r="L40" s="2" t="n">
        <v>0</v>
      </c>
      <c r="M40" s="2" t="n">
        <v>5</v>
      </c>
      <c r="N40" s="5" t="n">
        <f aca="false">IFERROR(I40/H40,"")</f>
        <v>0.0164851125635439</v>
      </c>
      <c r="O40" s="6" t="n">
        <f aca="false">IFERROR(J40/I40,"")</f>
        <v>0.665198237885463</v>
      </c>
      <c r="P40" s="7" t="n">
        <f aca="false">IFERROR(1000*J40/H40,"")</f>
        <v>10.9658678286129</v>
      </c>
      <c r="Q40" s="2" t="n">
        <v>1</v>
      </c>
      <c r="R40" s="2" t="n">
        <v>1.04</v>
      </c>
      <c r="S40" s="2" t="s">
        <v>31</v>
      </c>
      <c r="T40" s="2" t="n">
        <v>5491</v>
      </c>
      <c r="U40" s="6" t="n">
        <v>0</v>
      </c>
      <c r="V40" s="2" t="n">
        <v>9.2</v>
      </c>
    </row>
    <row r="41" customFormat="false" ht="15" hidden="false" customHeight="false" outlineLevel="0" collapsed="false">
      <c r="A41" s="2" t="s">
        <v>22</v>
      </c>
      <c r="B41" s="3" t="n">
        <v>46289.2926273148</v>
      </c>
      <c r="C41" s="2" t="s">
        <v>106</v>
      </c>
      <c r="D41" s="2" t="s">
        <v>107</v>
      </c>
      <c r="E41" s="2" t="s">
        <v>25</v>
      </c>
      <c r="F41" s="2"/>
      <c r="G41" s="2" t="n">
        <v>13.83</v>
      </c>
      <c r="H41" s="4" t="n">
        <v>21809</v>
      </c>
      <c r="I41" s="4" t="n">
        <v>662</v>
      </c>
      <c r="J41" s="4" t="n">
        <v>504</v>
      </c>
      <c r="K41" s="2" t="n">
        <v>15</v>
      </c>
      <c r="L41" s="2" t="n">
        <v>2</v>
      </c>
      <c r="M41" s="2" t="n">
        <v>4</v>
      </c>
      <c r="N41" s="5" t="n">
        <f aca="false">IFERROR(I41/H41,"")</f>
        <v>0.0303544408271814</v>
      </c>
      <c r="O41" s="6" t="n">
        <f aca="false">IFERROR(J41/I41,"")</f>
        <v>0.761329305135952</v>
      </c>
      <c r="P41" s="7" t="n">
        <f aca="false">IFERROR(1000*J41/H41,"")</f>
        <v>23.1097253427484</v>
      </c>
      <c r="Q41" s="2" t="n">
        <v>0.79</v>
      </c>
      <c r="R41" s="2" t="n">
        <v>2.19</v>
      </c>
      <c r="S41" s="2" t="s">
        <v>34</v>
      </c>
      <c r="T41" s="2" t="n">
        <v>5755</v>
      </c>
      <c r="U41" s="6" t="n">
        <v>0</v>
      </c>
      <c r="V41" s="2" t="n">
        <v>9.3</v>
      </c>
    </row>
    <row r="42" customFormat="false" ht="15" hidden="false" customHeight="false" outlineLevel="0" collapsed="false">
      <c r="A42" s="2" t="s">
        <v>22</v>
      </c>
      <c r="B42" s="3" t="n">
        <v>46288.9493865741</v>
      </c>
      <c r="C42" s="2" t="s">
        <v>108</v>
      </c>
      <c r="D42" s="2" t="s">
        <v>109</v>
      </c>
      <c r="E42" s="2" t="s">
        <v>25</v>
      </c>
      <c r="F42" s="2"/>
      <c r="G42" s="2" t="n">
        <v>14.18</v>
      </c>
      <c r="H42" s="4" t="n">
        <v>23574</v>
      </c>
      <c r="I42" s="4" t="n">
        <v>588</v>
      </c>
      <c r="J42" s="4" t="n">
        <v>338</v>
      </c>
      <c r="K42" s="2" t="n">
        <v>7</v>
      </c>
      <c r="L42" s="2" t="n">
        <v>0</v>
      </c>
      <c r="M42" s="2" t="n">
        <v>2</v>
      </c>
      <c r="N42" s="5" t="n">
        <f aca="false">IFERROR(I42/H42,"")</f>
        <v>0.0249427335199796</v>
      </c>
      <c r="O42" s="6" t="n">
        <f aca="false">IFERROR(J42/I42,"")</f>
        <v>0.574829931972789</v>
      </c>
      <c r="P42" s="7" t="n">
        <f aca="false">IFERROR(1000*J42/H42,"")</f>
        <v>14.3378298125053</v>
      </c>
      <c r="Q42" s="2" t="n">
        <v>0.84</v>
      </c>
      <c r="R42" s="2" t="n">
        <v>1.36</v>
      </c>
      <c r="S42" s="2" t="s">
        <v>31</v>
      </c>
      <c r="T42" s="2" t="n">
        <v>5637</v>
      </c>
      <c r="U42" s="6" t="n">
        <v>0</v>
      </c>
      <c r="V42" s="2" t="n">
        <v>10.1</v>
      </c>
    </row>
    <row r="43" customFormat="false" ht="15" hidden="false" customHeight="false" outlineLevel="0" collapsed="false">
      <c r="A43" s="2" t="s">
        <v>22</v>
      </c>
      <c r="B43" s="3" t="n">
        <v>46288.849525463</v>
      </c>
      <c r="C43" s="2" t="s">
        <v>110</v>
      </c>
      <c r="D43" s="2" t="s">
        <v>111</v>
      </c>
      <c r="E43" s="2" t="s">
        <v>25</v>
      </c>
      <c r="F43" s="2"/>
      <c r="G43" s="2" t="n">
        <v>14.28</v>
      </c>
      <c r="H43" s="4" t="n">
        <v>32537</v>
      </c>
      <c r="I43" s="4" t="n">
        <v>1062</v>
      </c>
      <c r="J43" s="4" t="n">
        <v>869</v>
      </c>
      <c r="K43" s="2" t="n">
        <v>18</v>
      </c>
      <c r="L43" s="2" t="n">
        <v>2</v>
      </c>
      <c r="M43" s="2" t="n">
        <v>7</v>
      </c>
      <c r="N43" s="5" t="n">
        <f aca="false">IFERROR(I43/H43,"")</f>
        <v>0.032639763961029</v>
      </c>
      <c r="O43" s="6" t="n">
        <f aca="false">IFERROR(J43/I43,"")</f>
        <v>0.818267419962335</v>
      </c>
      <c r="P43" s="7" t="n">
        <f aca="false">IFERROR(1000*J43/H43,"")</f>
        <v>26.7080554445708</v>
      </c>
      <c r="Q43" s="2" t="n">
        <v>1.17</v>
      </c>
      <c r="R43" s="2" t="n">
        <v>2.53</v>
      </c>
      <c r="S43" s="2" t="s">
        <v>34</v>
      </c>
      <c r="T43" s="2" t="n">
        <v>5786</v>
      </c>
      <c r="U43" s="6" t="n">
        <v>0</v>
      </c>
      <c r="V43" s="2" t="n">
        <v>9.7</v>
      </c>
    </row>
    <row r="44" customFormat="false" ht="15" hidden="false" customHeight="false" outlineLevel="0" collapsed="false">
      <c r="A44" s="2" t="s">
        <v>22</v>
      </c>
      <c r="B44" s="3" t="n">
        <v>46288.7096759259</v>
      </c>
      <c r="C44" s="2" t="s">
        <v>112</v>
      </c>
      <c r="D44" s="2" t="s">
        <v>113</v>
      </c>
      <c r="E44" s="2" t="s">
        <v>114</v>
      </c>
      <c r="F44" s="2"/>
      <c r="G44" s="2" t="n">
        <v>14.42</v>
      </c>
      <c r="H44" s="4" t="n">
        <v>26720</v>
      </c>
      <c r="I44" s="4" t="n">
        <v>369</v>
      </c>
      <c r="J44" s="4" t="n">
        <v>228</v>
      </c>
      <c r="K44" s="2" t="n">
        <v>15</v>
      </c>
      <c r="L44" s="2" t="n">
        <v>0</v>
      </c>
      <c r="M44" s="2" t="n">
        <v>2</v>
      </c>
      <c r="N44" s="5" t="n">
        <f aca="false">IFERROR(I44/H44,"")</f>
        <v>0.013809880239521</v>
      </c>
      <c r="O44" s="6" t="n">
        <f aca="false">IFERROR(J44/I44,"")</f>
        <v>0.617886178861789</v>
      </c>
      <c r="P44" s="7" t="n">
        <f aca="false">IFERROR(1000*J44/H44,"")</f>
        <v>8.53293413173653</v>
      </c>
      <c r="Q44" s="2" t="n">
        <v>0.96</v>
      </c>
      <c r="R44" s="2"/>
      <c r="S44" s="2" t="s">
        <v>115</v>
      </c>
      <c r="T44" s="2" t="n">
        <v>5531</v>
      </c>
      <c r="U44" s="6" t="n">
        <v>0</v>
      </c>
      <c r="V44" s="2" t="n">
        <v>10.3</v>
      </c>
    </row>
    <row r="45" customFormat="false" ht="15" hidden="false" customHeight="false" outlineLevel="0" collapsed="false">
      <c r="A45" s="2" t="s">
        <v>22</v>
      </c>
      <c r="B45" s="3" t="n">
        <v>46288.6680555556</v>
      </c>
      <c r="C45" s="2" t="s">
        <v>116</v>
      </c>
      <c r="D45" s="2" t="s">
        <v>117</v>
      </c>
      <c r="E45" s="2" t="s">
        <v>118</v>
      </c>
      <c r="F45" s="2"/>
      <c r="G45" s="2" t="n">
        <v>14.46</v>
      </c>
      <c r="H45" s="4" t="n">
        <v>29085</v>
      </c>
      <c r="I45" s="4" t="n">
        <v>2558</v>
      </c>
      <c r="J45" s="4" t="n">
        <v>676</v>
      </c>
      <c r="K45" s="2" t="n">
        <v>25</v>
      </c>
      <c r="L45" s="2" t="n">
        <v>0</v>
      </c>
      <c r="M45" s="2" t="n">
        <v>7</v>
      </c>
      <c r="N45" s="5" t="n">
        <f aca="false">IFERROR(I45/H45,"")</f>
        <v>0.0879491146639161</v>
      </c>
      <c r="O45" s="6" t="n">
        <f aca="false">IFERROR(J45/I45,"")</f>
        <v>0.264268960125098</v>
      </c>
      <c r="P45" s="7" t="n">
        <f aca="false">IFERROR(1000*J45/H45,"")</f>
        <v>23.2422210761561</v>
      </c>
      <c r="Q45" s="2" t="n">
        <v>1.04</v>
      </c>
      <c r="R45" s="2"/>
      <c r="S45" s="2" t="s">
        <v>115</v>
      </c>
      <c r="T45" s="2"/>
      <c r="U45" s="6"/>
      <c r="V45" s="2"/>
    </row>
    <row r="46" customFormat="false" ht="15" hidden="false" customHeight="false" outlineLevel="0" collapsed="false">
      <c r="A46" s="2" t="s">
        <v>22</v>
      </c>
      <c r="B46" s="3" t="n">
        <v>46288.5887847222</v>
      </c>
      <c r="C46" s="2" t="s">
        <v>119</v>
      </c>
      <c r="D46" s="2" t="s">
        <v>120</v>
      </c>
      <c r="E46" s="2" t="s">
        <v>118</v>
      </c>
      <c r="F46" s="2"/>
      <c r="G46" s="2" t="n">
        <v>14.54</v>
      </c>
      <c r="H46" s="4" t="n">
        <v>32573</v>
      </c>
      <c r="I46" s="4" t="n">
        <v>1910</v>
      </c>
      <c r="J46" s="4" t="n">
        <v>770</v>
      </c>
      <c r="K46" s="2" t="n">
        <v>14</v>
      </c>
      <c r="L46" s="2" t="n">
        <v>1</v>
      </c>
      <c r="M46" s="2" t="n">
        <v>7</v>
      </c>
      <c r="N46" s="5" t="n">
        <f aca="false">IFERROR(I46/H46,"")</f>
        <v>0.0586375218739447</v>
      </c>
      <c r="O46" s="6" t="n">
        <f aca="false">IFERROR(J46/I46,"")</f>
        <v>0.403141361256545</v>
      </c>
      <c r="P46" s="7" t="n">
        <f aca="false">IFERROR(1000*J46/H46,"")</f>
        <v>23.6392103889725</v>
      </c>
      <c r="Q46" s="2" t="n">
        <v>1.17</v>
      </c>
      <c r="R46" s="2"/>
      <c r="S46" s="2" t="s">
        <v>115</v>
      </c>
      <c r="T46" s="2"/>
      <c r="U46" s="6"/>
      <c r="V46" s="2"/>
    </row>
    <row r="47" customFormat="false" ht="15" hidden="false" customHeight="false" outlineLevel="0" collapsed="false">
      <c r="A47" s="2" t="s">
        <v>22</v>
      </c>
      <c r="B47" s="3" t="n">
        <v>46288.3337384259</v>
      </c>
      <c r="C47" s="2" t="s">
        <v>121</v>
      </c>
      <c r="D47" s="2" t="s">
        <v>122</v>
      </c>
      <c r="E47" s="2" t="s">
        <v>123</v>
      </c>
      <c r="F47" s="2"/>
      <c r="G47" s="2" t="n">
        <v>14.79</v>
      </c>
      <c r="H47" s="4" t="n">
        <v>4346</v>
      </c>
      <c r="I47" s="4" t="n">
        <v>103</v>
      </c>
      <c r="J47" s="4" t="n">
        <v>72</v>
      </c>
      <c r="K47" s="2" t="n">
        <v>3</v>
      </c>
      <c r="L47" s="2" t="n">
        <v>0</v>
      </c>
      <c r="M47" s="2" t="n">
        <v>0</v>
      </c>
      <c r="N47" s="5" t="n">
        <f aca="false">IFERROR(I47/H47,"")</f>
        <v>0.0236999539806719</v>
      </c>
      <c r="O47" s="6" t="n">
        <f aca="false">IFERROR(J47/I47,"")</f>
        <v>0.699029126213592</v>
      </c>
      <c r="P47" s="7" t="n">
        <f aca="false">IFERROR(1000*J47/H47,"")</f>
        <v>16.5669581224114</v>
      </c>
      <c r="Q47" s="2" t="n">
        <v>0.16</v>
      </c>
      <c r="R47" s="2"/>
      <c r="S47" s="2" t="s">
        <v>115</v>
      </c>
      <c r="T47" s="2" t="n">
        <v>3153</v>
      </c>
      <c r="U47" s="6" t="n">
        <v>0</v>
      </c>
      <c r="V47" s="2" t="n">
        <v>10.3</v>
      </c>
    </row>
    <row r="48" customFormat="false" ht="15" hidden="false" customHeight="false" outlineLevel="0" collapsed="false">
      <c r="A48" s="2" t="s">
        <v>22</v>
      </c>
      <c r="B48" s="3" t="n">
        <v>46287.3762615741</v>
      </c>
      <c r="C48" s="2" t="s">
        <v>124</v>
      </c>
      <c r="D48" s="2" t="s">
        <v>125</v>
      </c>
      <c r="E48" s="2" t="s">
        <v>123</v>
      </c>
      <c r="F48" s="2"/>
      <c r="G48" s="2" t="n">
        <v>15.75</v>
      </c>
      <c r="H48" s="4" t="n">
        <v>5293</v>
      </c>
      <c r="I48" s="4" t="n">
        <v>122</v>
      </c>
      <c r="J48" s="4" t="n">
        <v>55</v>
      </c>
      <c r="K48" s="2" t="n">
        <v>2</v>
      </c>
      <c r="L48" s="2" t="n">
        <v>0</v>
      </c>
      <c r="M48" s="2" t="n">
        <v>2</v>
      </c>
      <c r="N48" s="5" t="n">
        <f aca="false">IFERROR(I48/H48,"")</f>
        <v>0.0230493104099754</v>
      </c>
      <c r="O48" s="6" t="n">
        <f aca="false">IFERROR(J48/I48,"")</f>
        <v>0.450819672131148</v>
      </c>
      <c r="P48" s="7" t="n">
        <f aca="false">IFERROR(1000*J48/H48,"")</f>
        <v>10.3910825618742</v>
      </c>
      <c r="Q48" s="2" t="n">
        <v>1</v>
      </c>
      <c r="R48" s="2"/>
      <c r="S48" s="2" t="s">
        <v>115</v>
      </c>
      <c r="T48" s="2" t="n">
        <v>3263</v>
      </c>
      <c r="U48" s="6" t="n">
        <v>0</v>
      </c>
      <c r="V48" s="2" t="n">
        <v>10</v>
      </c>
    </row>
    <row r="49" customFormat="false" ht="15" hidden="false" customHeight="false" outlineLevel="0" collapsed="false">
      <c r="A49" s="2" t="s">
        <v>22</v>
      </c>
      <c r="B49" s="3" t="n">
        <v>46286.6981018519</v>
      </c>
      <c r="C49" s="2" t="s">
        <v>126</v>
      </c>
      <c r="D49" s="2" t="s">
        <v>127</v>
      </c>
      <c r="E49" s="2" t="s">
        <v>123</v>
      </c>
      <c r="F49" s="2"/>
      <c r="G49" s="2" t="n">
        <v>16.43</v>
      </c>
      <c r="H49" s="4" t="n">
        <v>28018</v>
      </c>
      <c r="I49" s="4" t="n">
        <v>2198</v>
      </c>
      <c r="J49" s="4" t="n">
        <v>1623</v>
      </c>
      <c r="K49" s="2" t="n">
        <v>37</v>
      </c>
      <c r="L49" s="2" t="n">
        <v>2</v>
      </c>
      <c r="M49" s="2" t="n">
        <v>5</v>
      </c>
      <c r="N49" s="5" t="n">
        <f aca="false">IFERROR(I49/H49,"")</f>
        <v>0.0784495681347705</v>
      </c>
      <c r="O49" s="6" t="n">
        <f aca="false">IFERROR(J49/I49,"")</f>
        <v>0.738398544131028</v>
      </c>
      <c r="P49" s="7" t="n">
        <f aca="false">IFERROR(1000*J49/H49,"")</f>
        <v>57.9270468984224</v>
      </c>
      <c r="Q49" s="2" t="n">
        <v>1</v>
      </c>
      <c r="R49" s="2"/>
      <c r="S49" s="2" t="s">
        <v>115</v>
      </c>
      <c r="T49" s="2" t="n">
        <v>3875</v>
      </c>
      <c r="U49" s="6" t="n">
        <v>0</v>
      </c>
      <c r="V49" s="2" t="n">
        <v>11.3</v>
      </c>
    </row>
    <row r="50" customFormat="false" ht="15" hidden="false" customHeight="false" outlineLevel="0" collapsed="false">
      <c r="A50" s="2" t="s">
        <v>22</v>
      </c>
      <c r="B50" s="3" t="n">
        <v>46285.3118981482</v>
      </c>
      <c r="C50" s="2" t="s">
        <v>128</v>
      </c>
      <c r="D50" s="2" t="s">
        <v>129</v>
      </c>
      <c r="E50" s="2" t="s">
        <v>123</v>
      </c>
      <c r="F50" s="2"/>
      <c r="G50" s="2" t="n">
        <v>17.81</v>
      </c>
      <c r="H50" s="4" t="n">
        <v>28482</v>
      </c>
      <c r="I50" s="4" t="n">
        <v>1315</v>
      </c>
      <c r="J50" s="4" t="n">
        <v>755</v>
      </c>
      <c r="K50" s="2" t="n">
        <v>23</v>
      </c>
      <c r="L50" s="2" t="n">
        <v>0</v>
      </c>
      <c r="M50" s="2" t="n">
        <v>5</v>
      </c>
      <c r="N50" s="5" t="n">
        <f aca="false">IFERROR(I50/H50,"")</f>
        <v>0.0461695105680781</v>
      </c>
      <c r="O50" s="6" t="n">
        <f aca="false">IFERROR(J50/I50,"")</f>
        <v>0.574144486692015</v>
      </c>
      <c r="P50" s="7" t="n">
        <f aca="false">IFERROR(1000*J50/H50,"")</f>
        <v>26.5079699459308</v>
      </c>
      <c r="Q50" s="2" t="n">
        <v>1</v>
      </c>
      <c r="R50" s="2"/>
      <c r="S50" s="2" t="s">
        <v>115</v>
      </c>
      <c r="T50" s="2" t="n">
        <v>3483</v>
      </c>
      <c r="U50" s="6" t="n">
        <v>0</v>
      </c>
      <c r="V50" s="2" t="n">
        <v>12.1</v>
      </c>
    </row>
    <row r="51" customFormat="false" ht="15" hidden="false" customHeight="false" outlineLevel="0" collapsed="false">
      <c r="A51" s="2" t="s">
        <v>22</v>
      </c>
      <c r="B51" s="3" t="n">
        <v>46284.3344212963</v>
      </c>
      <c r="C51" s="2" t="s">
        <v>130</v>
      </c>
      <c r="D51" s="2" t="s">
        <v>131</v>
      </c>
      <c r="E51" s="2" t="s">
        <v>123</v>
      </c>
      <c r="F51" s="2"/>
      <c r="G51" s="2" t="n">
        <v>18.79</v>
      </c>
      <c r="H51" s="4" t="n">
        <v>5632</v>
      </c>
      <c r="I51" s="4" t="n">
        <v>58</v>
      </c>
      <c r="J51" s="4" t="n">
        <v>30</v>
      </c>
      <c r="K51" s="2" t="n">
        <v>0</v>
      </c>
      <c r="L51" s="2" t="n">
        <v>0</v>
      </c>
      <c r="M51" s="2" t="n">
        <v>1</v>
      </c>
      <c r="N51" s="5" t="n">
        <f aca="false">IFERROR(I51/H51,"")</f>
        <v>0.0102982954545455</v>
      </c>
      <c r="O51" s="6" t="n">
        <f aca="false">IFERROR(J51/I51,"")</f>
        <v>0.517241379310345</v>
      </c>
      <c r="P51" s="7" t="n">
        <f aca="false">IFERROR(1000*J51/H51,"")</f>
        <v>5.32670454545455</v>
      </c>
      <c r="Q51" s="2" t="n">
        <v>1</v>
      </c>
      <c r="R51" s="2"/>
      <c r="S51" s="2" t="s">
        <v>115</v>
      </c>
      <c r="T51" s="2"/>
      <c r="U51" s="6"/>
      <c r="V51" s="2"/>
    </row>
    <row r="52" customFormat="false" ht="15" hidden="false" customHeight="false" outlineLevel="0" collapsed="false">
      <c r="A52" s="2" t="s">
        <v>22</v>
      </c>
      <c r="B52" s="3" t="n">
        <v>46283.2927777778</v>
      </c>
      <c r="C52" s="2" t="s">
        <v>132</v>
      </c>
      <c r="D52" s="2" t="s">
        <v>133</v>
      </c>
      <c r="E52" s="2" t="s">
        <v>123</v>
      </c>
      <c r="F52" s="2"/>
      <c r="G52" s="2" t="n">
        <v>19.83</v>
      </c>
      <c r="H52" s="4" t="n">
        <v>32999</v>
      </c>
      <c r="I52" s="4" t="n">
        <v>1607</v>
      </c>
      <c r="J52" s="4" t="n">
        <v>1154</v>
      </c>
      <c r="K52" s="2" t="n">
        <v>30</v>
      </c>
      <c r="L52" s="2" t="n">
        <v>1</v>
      </c>
      <c r="M52" s="2" t="n">
        <v>7</v>
      </c>
      <c r="N52" s="5" t="n">
        <f aca="false">IFERROR(I52/H52,"")</f>
        <v>0.0486984454074366</v>
      </c>
      <c r="O52" s="6" t="n">
        <f aca="false">IFERROR(J52/I52,"")</f>
        <v>0.718108276291226</v>
      </c>
      <c r="P52" s="7" t="n">
        <f aca="false">IFERROR(1000*J52/H52,"")</f>
        <v>34.9707566895967</v>
      </c>
      <c r="Q52" s="2" t="n">
        <v>1</v>
      </c>
      <c r="R52" s="2"/>
      <c r="S52" s="2" t="s">
        <v>115</v>
      </c>
      <c r="T52" s="2" t="n">
        <v>5072</v>
      </c>
      <c r="U52" s="6" t="n">
        <v>0.09</v>
      </c>
      <c r="V52" s="2" t="n">
        <v>9.8</v>
      </c>
    </row>
    <row r="53" customFormat="false" ht="15" hidden="false" customHeight="false" outlineLevel="0" collapsed="false">
      <c r="A53" s="2" t="s">
        <v>22</v>
      </c>
      <c r="B53" s="3" t="n">
        <v>46282.3345601852</v>
      </c>
      <c r="C53" s="2" t="s">
        <v>134</v>
      </c>
      <c r="D53" s="2" t="s">
        <v>135</v>
      </c>
      <c r="E53" s="2" t="s">
        <v>123</v>
      </c>
      <c r="F53" s="2"/>
      <c r="G53" s="2" t="n">
        <v>20.79</v>
      </c>
      <c r="H53" s="4" t="n">
        <v>5299</v>
      </c>
      <c r="I53" s="4" t="n">
        <v>146</v>
      </c>
      <c r="J53" s="4" t="n">
        <v>95</v>
      </c>
      <c r="K53" s="2" t="n">
        <v>3</v>
      </c>
      <c r="L53" s="2" t="n">
        <v>0</v>
      </c>
      <c r="M53" s="2" t="n">
        <v>1</v>
      </c>
      <c r="N53" s="5" t="n">
        <f aca="false">IFERROR(I53/H53,"")</f>
        <v>0.0275523683713908</v>
      </c>
      <c r="O53" s="6" t="n">
        <f aca="false">IFERROR(J53/I53,"")</f>
        <v>0.650684931506849</v>
      </c>
      <c r="P53" s="7" t="n">
        <f aca="false">IFERROR(1000*J53/H53,"")</f>
        <v>17.9279109265899</v>
      </c>
      <c r="Q53" s="2" t="n">
        <v>1</v>
      </c>
      <c r="R53" s="2"/>
      <c r="S53" s="2" t="s">
        <v>115</v>
      </c>
      <c r="T53" s="2" t="n">
        <v>4803</v>
      </c>
      <c r="U53" s="6" t="n">
        <v>0.1</v>
      </c>
      <c r="V53" s="2" t="n">
        <v>9.8</v>
      </c>
    </row>
    <row r="54" customFormat="false" ht="15" hidden="false" customHeight="false" outlineLevel="0" collapsed="false">
      <c r="A54" s="2" t="s">
        <v>22</v>
      </c>
      <c r="B54" s="3" t="n">
        <v>46281.3353472222</v>
      </c>
      <c r="C54" s="2" t="s">
        <v>136</v>
      </c>
      <c r="D54" s="2" t="s">
        <v>137</v>
      </c>
      <c r="E54" s="2" t="s">
        <v>123</v>
      </c>
      <c r="F54" s="2"/>
      <c r="G54" s="2" t="n">
        <v>21.79</v>
      </c>
      <c r="H54" s="4" t="n">
        <v>5759</v>
      </c>
      <c r="I54" s="4" t="n">
        <v>64</v>
      </c>
      <c r="J54" s="4" t="n">
        <v>31</v>
      </c>
      <c r="K54" s="2" t="n">
        <v>0</v>
      </c>
      <c r="L54" s="2" t="n">
        <v>0</v>
      </c>
      <c r="M54" s="2" t="n">
        <v>1</v>
      </c>
      <c r="N54" s="5" t="n">
        <f aca="false">IFERROR(I54/H54,"")</f>
        <v>0.0111130404584129</v>
      </c>
      <c r="O54" s="6" t="n">
        <f aca="false">IFERROR(J54/I54,"")</f>
        <v>0.484375</v>
      </c>
      <c r="P54" s="7" t="n">
        <f aca="false">IFERROR(1000*J54/H54,"")</f>
        <v>5.38287897204376</v>
      </c>
      <c r="Q54" s="2" t="n">
        <v>1</v>
      </c>
      <c r="R54" s="2"/>
      <c r="S54" s="2" t="s">
        <v>115</v>
      </c>
      <c r="T54" s="2" t="n">
        <v>5315</v>
      </c>
      <c r="U54" s="6" t="n">
        <v>0.09</v>
      </c>
      <c r="V54" s="2" t="n">
        <v>10.1</v>
      </c>
    </row>
    <row r="55" customFormat="false" ht="15" hidden="false" customHeight="false" outlineLevel="0" collapsed="false">
      <c r="A55" s="2" t="s">
        <v>22</v>
      </c>
      <c r="B55" s="3" t="n">
        <v>46280.5657291667</v>
      </c>
      <c r="C55" s="2" t="s">
        <v>138</v>
      </c>
      <c r="D55" s="2" t="s">
        <v>139</v>
      </c>
      <c r="E55" s="2" t="s">
        <v>123</v>
      </c>
      <c r="F55" s="2"/>
      <c r="G55" s="2" t="n">
        <v>22.56</v>
      </c>
      <c r="H55" s="4" t="n">
        <v>20015</v>
      </c>
      <c r="I55" s="4" t="n">
        <v>656</v>
      </c>
      <c r="J55" s="4" t="n">
        <v>401</v>
      </c>
      <c r="K55" s="2" t="n">
        <v>17</v>
      </c>
      <c r="L55" s="2" t="n">
        <v>0</v>
      </c>
      <c r="M55" s="2" t="n">
        <v>1</v>
      </c>
      <c r="N55" s="5" t="n">
        <f aca="false">IFERROR(I55/H55,"")</f>
        <v>0.0327754184361729</v>
      </c>
      <c r="O55" s="6" t="n">
        <f aca="false">IFERROR(J55/I55,"")</f>
        <v>0.611280487804878</v>
      </c>
      <c r="P55" s="7" t="n">
        <f aca="false">IFERROR(1000*J55/H55,"")</f>
        <v>20.0349737696727</v>
      </c>
      <c r="Q55" s="2" t="n">
        <v>1</v>
      </c>
      <c r="R55" s="2"/>
      <c r="S55" s="2" t="s">
        <v>115</v>
      </c>
      <c r="T55" s="2" t="n">
        <v>5814</v>
      </c>
      <c r="U55" s="6" t="n">
        <v>0.13</v>
      </c>
      <c r="V55" s="2" t="n">
        <v>10.9</v>
      </c>
    </row>
    <row r="56" customFormat="false" ht="15" hidden="false" customHeight="false" outlineLevel="0" collapsed="false">
      <c r="A56" s="2" t="s">
        <v>22</v>
      </c>
      <c r="B56" s="3" t="n">
        <v>46263.8235763889</v>
      </c>
      <c r="C56" s="2" t="s">
        <v>140</v>
      </c>
      <c r="D56" s="2" t="s">
        <v>141</v>
      </c>
      <c r="E56" s="2" t="s">
        <v>123</v>
      </c>
      <c r="F56" s="2"/>
      <c r="G56" s="2" t="n">
        <v>39.3</v>
      </c>
      <c r="H56" s="4" t="n">
        <v>35</v>
      </c>
      <c r="I56" s="4" t="n">
        <v>2</v>
      </c>
      <c r="J56" s="4" t="n">
        <v>1</v>
      </c>
      <c r="K56" s="2" t="n">
        <v>0</v>
      </c>
      <c r="L56" s="2" t="n">
        <v>0</v>
      </c>
      <c r="M56" s="2" t="n">
        <v>0</v>
      </c>
      <c r="N56" s="5" t="n">
        <f aca="false">IFERROR(I56/H56,"")</f>
        <v>0.0571428571428571</v>
      </c>
      <c r="O56" s="6" t="n">
        <f aca="false">IFERROR(J56/I56,"")</f>
        <v>0.5</v>
      </c>
      <c r="P56" s="7" t="n">
        <f aca="false">IFERROR(1000*J56/H56,"")</f>
        <v>28.5714285714286</v>
      </c>
      <c r="Q56" s="2" t="n">
        <v>1</v>
      </c>
      <c r="R56" s="2"/>
      <c r="S56" s="2" t="s">
        <v>115</v>
      </c>
      <c r="T56" s="2" t="n">
        <v>7580</v>
      </c>
      <c r="U56" s="6" t="n">
        <v>0</v>
      </c>
      <c r="V56" s="2" t="n">
        <v>6.3</v>
      </c>
    </row>
    <row r="57" customFormat="false" ht="15" hidden="false" customHeight="false" outlineLevel="0" collapsed="false">
      <c r="A57" s="2" t="s">
        <v>22</v>
      </c>
      <c r="B57" s="3" t="n">
        <v>46249.8025462963</v>
      </c>
      <c r="C57" s="2" t="s">
        <v>142</v>
      </c>
      <c r="D57" s="2" t="s">
        <v>143</v>
      </c>
      <c r="E57" s="2" t="s">
        <v>123</v>
      </c>
      <c r="F57" s="2"/>
      <c r="G57" s="2" t="n">
        <v>53.32</v>
      </c>
      <c r="H57" s="4" t="n">
        <v>24</v>
      </c>
      <c r="I57" s="4" t="n">
        <v>0</v>
      </c>
      <c r="J57" s="4" t="n">
        <v>0</v>
      </c>
      <c r="K57" s="2" t="n">
        <v>0</v>
      </c>
      <c r="L57" s="2" t="n">
        <v>0</v>
      </c>
      <c r="M57" s="2" t="n">
        <v>0</v>
      </c>
      <c r="N57" s="5" t="n">
        <f aca="false">IFERROR(I57/H57,"")</f>
        <v>0</v>
      </c>
      <c r="O57" s="6" t="str">
        <f aca="false">IFERROR(J57/I57,"")</f>
        <v/>
      </c>
      <c r="P57" s="7" t="n">
        <f aca="false">IFERROR(1000*J57/H57,"")</f>
        <v>0</v>
      </c>
      <c r="Q57" s="2" t="n">
        <v>1</v>
      </c>
      <c r="R57" s="2"/>
      <c r="S57" s="2" t="s">
        <v>115</v>
      </c>
      <c r="T57" s="2" t="n">
        <v>6056</v>
      </c>
      <c r="U57" s="6" t="n">
        <v>0</v>
      </c>
      <c r="V57" s="2" t="n">
        <v>6.7</v>
      </c>
    </row>
    <row r="58" customFormat="false" ht="15" hidden="false" customHeight="false" outlineLevel="0" collapsed="false">
      <c r="A58" s="2" t="s">
        <v>22</v>
      </c>
      <c r="B58" s="3" t="n">
        <v>46240.6575231482</v>
      </c>
      <c r="C58" s="2" t="s">
        <v>144</v>
      </c>
      <c r="D58" s="2" t="s">
        <v>145</v>
      </c>
      <c r="E58" s="2" t="s">
        <v>123</v>
      </c>
      <c r="F58" s="2"/>
      <c r="G58" s="2" t="n">
        <v>62.47</v>
      </c>
      <c r="H58" s="4" t="n">
        <v>17</v>
      </c>
      <c r="I58" s="4" t="n">
        <v>0</v>
      </c>
      <c r="J58" s="4" t="n">
        <v>0</v>
      </c>
      <c r="K58" s="2" t="n">
        <v>0</v>
      </c>
      <c r="L58" s="2" t="n">
        <v>0</v>
      </c>
      <c r="M58" s="2" t="n">
        <v>0</v>
      </c>
      <c r="N58" s="5" t="n">
        <f aca="false">IFERROR(I58/H58,"")</f>
        <v>0</v>
      </c>
      <c r="O58" s="6" t="str">
        <f aca="false">IFERROR(J58/I58,"")</f>
        <v/>
      </c>
      <c r="P58" s="7" t="n">
        <f aca="false">IFERROR(1000*J58/H58,"")</f>
        <v>0</v>
      </c>
      <c r="Q58" s="2" t="n">
        <v>1</v>
      </c>
      <c r="R58" s="2"/>
      <c r="S58" s="2" t="s">
        <v>115</v>
      </c>
      <c r="T58" s="2" t="n">
        <v>6484</v>
      </c>
      <c r="U58" s="6" t="n">
        <v>0</v>
      </c>
      <c r="V58" s="2" t="n">
        <v>6.9</v>
      </c>
    </row>
    <row r="59" customFormat="false" ht="15" hidden="false" customHeight="false" outlineLevel="0" collapsed="false">
      <c r="A59" s="2" t="s">
        <v>22</v>
      </c>
      <c r="B59" s="3" t="n">
        <v>46236.0995486111</v>
      </c>
      <c r="C59" s="2" t="s">
        <v>146</v>
      </c>
      <c r="D59" s="2" t="s">
        <v>147</v>
      </c>
      <c r="E59" s="2" t="s">
        <v>123</v>
      </c>
      <c r="F59" s="2"/>
      <c r="G59" s="2" t="n">
        <v>67.03</v>
      </c>
      <c r="H59" s="4" t="n">
        <v>18</v>
      </c>
      <c r="I59" s="4" t="n">
        <v>0</v>
      </c>
      <c r="J59" s="4" t="n">
        <v>0</v>
      </c>
      <c r="K59" s="2" t="n">
        <v>0</v>
      </c>
      <c r="L59" s="2" t="n">
        <v>0</v>
      </c>
      <c r="M59" s="2" t="n">
        <v>0</v>
      </c>
      <c r="N59" s="5" t="n">
        <f aca="false">IFERROR(I59/H59,"")</f>
        <v>0</v>
      </c>
      <c r="O59" s="6" t="str">
        <f aca="false">IFERROR(J59/I59,"")</f>
        <v/>
      </c>
      <c r="P59" s="7" t="n">
        <f aca="false">IFERROR(1000*J59/H59,"")</f>
        <v>0</v>
      </c>
      <c r="Q59" s="2" t="n">
        <v>1</v>
      </c>
      <c r="R59" s="2"/>
      <c r="S59" s="2" t="s">
        <v>115</v>
      </c>
      <c r="T59" s="2" t="n">
        <v>6334</v>
      </c>
      <c r="U59" s="6" t="n">
        <v>0</v>
      </c>
      <c r="V59" s="2" t="n">
        <v>7.3</v>
      </c>
    </row>
    <row r="60" customFormat="false" ht="15" hidden="false" customHeight="false" outlineLevel="0" collapsed="false">
      <c r="A60" s="2" t="s">
        <v>22</v>
      </c>
      <c r="B60" s="3" t="n">
        <v>46235.8337037037</v>
      </c>
      <c r="C60" s="2" t="s">
        <v>148</v>
      </c>
      <c r="D60" s="2" t="s">
        <v>149</v>
      </c>
      <c r="E60" s="2" t="s">
        <v>123</v>
      </c>
      <c r="F60" s="2"/>
      <c r="G60" s="2" t="n">
        <v>67.29</v>
      </c>
      <c r="H60" s="4" t="n">
        <v>14</v>
      </c>
      <c r="I60" s="4" t="n">
        <v>5</v>
      </c>
      <c r="J60" s="4" t="n">
        <v>2</v>
      </c>
      <c r="K60" s="2" t="n">
        <v>1</v>
      </c>
      <c r="L60" s="2" t="n">
        <v>0</v>
      </c>
      <c r="M60" s="2" t="n">
        <v>0</v>
      </c>
      <c r="N60" s="5" t="n">
        <f aca="false">IFERROR(I60/H60,"")</f>
        <v>0.357142857142857</v>
      </c>
      <c r="O60" s="6" t="n">
        <f aca="false">IFERROR(J60/I60,"")</f>
        <v>0.4</v>
      </c>
      <c r="P60" s="7" t="n">
        <f aca="false">IFERROR(1000*J60/H60,"")</f>
        <v>142.857142857143</v>
      </c>
      <c r="Q60" s="2" t="n">
        <v>1</v>
      </c>
      <c r="R60" s="2"/>
      <c r="S60" s="2" t="s">
        <v>115</v>
      </c>
      <c r="T60" s="2" t="n">
        <v>6631</v>
      </c>
      <c r="U60" s="6" t="n">
        <v>0</v>
      </c>
      <c r="V60" s="2" t="n">
        <v>7</v>
      </c>
    </row>
    <row r="61" customFormat="false" ht="15" hidden="false" customHeight="false" outlineLevel="0" collapsed="false">
      <c r="A61" s="2" t="s">
        <v>22</v>
      </c>
      <c r="B61" s="3" t="n">
        <v>46234.7942013889</v>
      </c>
      <c r="C61" s="2" t="s">
        <v>150</v>
      </c>
      <c r="D61" s="2" t="s">
        <v>151</v>
      </c>
      <c r="E61" s="2" t="s">
        <v>123</v>
      </c>
      <c r="F61" s="2"/>
      <c r="G61" s="2" t="n">
        <v>68.33</v>
      </c>
      <c r="H61" s="4" t="n">
        <v>12</v>
      </c>
      <c r="I61" s="4" t="n">
        <v>2</v>
      </c>
      <c r="J61" s="4" t="n">
        <v>1</v>
      </c>
      <c r="K61" s="2" t="n">
        <v>1</v>
      </c>
      <c r="L61" s="2" t="n">
        <v>0</v>
      </c>
      <c r="M61" s="2" t="n">
        <v>0</v>
      </c>
      <c r="N61" s="5" t="n">
        <f aca="false">IFERROR(I61/H61,"")</f>
        <v>0.166666666666667</v>
      </c>
      <c r="O61" s="6" t="n">
        <f aca="false">IFERROR(J61/I61,"")</f>
        <v>0.5</v>
      </c>
      <c r="P61" s="7" t="n">
        <f aca="false">IFERROR(1000*J61/H61,"")</f>
        <v>83.3333333333333</v>
      </c>
      <c r="Q61" s="2" t="n">
        <v>1</v>
      </c>
      <c r="R61" s="2"/>
      <c r="S61" s="2" t="s">
        <v>115</v>
      </c>
      <c r="T61" s="2" t="n">
        <v>8225</v>
      </c>
      <c r="U61" s="6" t="n">
        <v>0</v>
      </c>
      <c r="V61" s="2" t="n">
        <v>7.5</v>
      </c>
    </row>
    <row r="62" customFormat="false" ht="15" hidden="false" customHeight="false" outlineLevel="0" collapsed="false">
      <c r="A62" s="2" t="s">
        <v>152</v>
      </c>
      <c r="B62" s="3" t="n">
        <v>46302.6321527778</v>
      </c>
      <c r="C62" s="2" t="s">
        <v>153</v>
      </c>
      <c r="D62" s="2" t="s">
        <v>154</v>
      </c>
      <c r="E62" s="2" t="s">
        <v>155</v>
      </c>
      <c r="F62" s="2"/>
      <c r="G62" s="2" t="n">
        <v>0.49</v>
      </c>
      <c r="H62" s="4" t="n">
        <v>1</v>
      </c>
      <c r="I62" s="4" t="n">
        <v>1</v>
      </c>
      <c r="J62" s="4" t="n">
        <v>0</v>
      </c>
      <c r="K62" s="2" t="n">
        <v>0</v>
      </c>
      <c r="L62" s="2" t="n">
        <v>0</v>
      </c>
      <c r="M62" s="2" t="n">
        <v>0</v>
      </c>
      <c r="N62" s="5" t="n">
        <f aca="false">IFERROR(I62/H62,"")</f>
        <v>1</v>
      </c>
      <c r="O62" s="6" t="n">
        <f aca="false">IFERROR(J62/I62,"")</f>
        <v>0</v>
      </c>
      <c r="P62" s="7" t="n">
        <f aca="false">IFERROR(1000*J62/H62,"")</f>
        <v>0</v>
      </c>
      <c r="Q62" s="2" t="n">
        <v>0.5</v>
      </c>
      <c r="R62" s="2"/>
      <c r="S62" s="2" t="s">
        <v>26</v>
      </c>
      <c r="T62" s="2" t="n">
        <v>9324</v>
      </c>
      <c r="U62" s="6" t="n">
        <v>0.38</v>
      </c>
      <c r="V62" s="2" t="n">
        <v>7.9</v>
      </c>
    </row>
    <row r="63" customFormat="false" ht="15" hidden="false" customHeight="false" outlineLevel="0" collapsed="false">
      <c r="A63" s="2" t="s">
        <v>152</v>
      </c>
      <c r="B63" s="3" t="n">
        <v>46302.2971875</v>
      </c>
      <c r="C63" s="2" t="s">
        <v>156</v>
      </c>
      <c r="D63" s="2" t="s">
        <v>157</v>
      </c>
      <c r="E63" s="2" t="s">
        <v>155</v>
      </c>
      <c r="F63" s="2"/>
      <c r="G63" s="2" t="n">
        <v>0.83</v>
      </c>
      <c r="H63" s="4" t="n">
        <v>3</v>
      </c>
      <c r="I63" s="4" t="n">
        <v>1</v>
      </c>
      <c r="J63" s="4" t="n">
        <v>0</v>
      </c>
      <c r="K63" s="2" t="n">
        <v>1</v>
      </c>
      <c r="L63" s="2" t="n">
        <v>0</v>
      </c>
      <c r="M63" s="2" t="n">
        <v>0</v>
      </c>
      <c r="N63" s="5" t="n">
        <f aca="false">IFERROR(I63/H63,"")</f>
        <v>0.333333333333333</v>
      </c>
      <c r="O63" s="6" t="n">
        <f aca="false">IFERROR(J63/I63,"")</f>
        <v>0</v>
      </c>
      <c r="P63" s="7" t="n">
        <f aca="false">IFERROR(1000*J63/H63,"")</f>
        <v>0</v>
      </c>
      <c r="Q63" s="2" t="n">
        <v>1.5</v>
      </c>
      <c r="R63" s="2"/>
      <c r="S63" s="2" t="s">
        <v>26</v>
      </c>
      <c r="T63" s="2" t="n">
        <v>9311</v>
      </c>
      <c r="U63" s="6" t="n">
        <v>0.38</v>
      </c>
      <c r="V63" s="2" t="n">
        <v>8</v>
      </c>
    </row>
    <row r="64" customFormat="false" ht="15" hidden="false" customHeight="false" outlineLevel="0" collapsed="false">
      <c r="A64" s="2" t="s">
        <v>152</v>
      </c>
      <c r="B64" s="3" t="n">
        <v>46301.4181944444</v>
      </c>
      <c r="C64" s="2" t="s">
        <v>158</v>
      </c>
      <c r="D64" s="2" t="s">
        <v>159</v>
      </c>
      <c r="E64" s="2" t="s">
        <v>155</v>
      </c>
      <c r="F64" s="2"/>
      <c r="G64" s="2" t="n">
        <v>1.71</v>
      </c>
      <c r="H64" s="4" t="n">
        <v>3295</v>
      </c>
      <c r="I64" s="4" t="n">
        <v>65</v>
      </c>
      <c r="J64" s="4" t="n">
        <v>40</v>
      </c>
      <c r="K64" s="2" t="n">
        <v>4</v>
      </c>
      <c r="L64" s="2" t="n">
        <v>0</v>
      </c>
      <c r="M64" s="2" t="n">
        <v>1</v>
      </c>
      <c r="N64" s="5" t="n">
        <f aca="false">IFERROR(I64/H64,"")</f>
        <v>0.0197268588770865</v>
      </c>
      <c r="O64" s="6" t="n">
        <f aca="false">IFERROR(J64/I64,"")</f>
        <v>0.615384615384615</v>
      </c>
      <c r="P64" s="7" t="n">
        <f aca="false">IFERROR(1000*J64/H64,"")</f>
        <v>12.1396054628225</v>
      </c>
      <c r="Q64" s="2" t="n">
        <v>1.01</v>
      </c>
      <c r="R64" s="2" t="n">
        <v>1.02</v>
      </c>
      <c r="S64" s="2" t="s">
        <v>31</v>
      </c>
      <c r="T64" s="2" t="n">
        <v>9138</v>
      </c>
      <c r="U64" s="6" t="n">
        <v>0.39</v>
      </c>
      <c r="V64" s="2" t="n">
        <v>7.9</v>
      </c>
    </row>
    <row r="65" customFormat="false" ht="15" hidden="false" customHeight="false" outlineLevel="0" collapsed="false">
      <c r="A65" s="2" t="s">
        <v>152</v>
      </c>
      <c r="B65" s="3" t="n">
        <v>46301.3345023148</v>
      </c>
      <c r="C65" s="2" t="s">
        <v>160</v>
      </c>
      <c r="D65" s="2" t="s">
        <v>161</v>
      </c>
      <c r="E65" s="2" t="s">
        <v>155</v>
      </c>
      <c r="F65" s="2"/>
      <c r="G65" s="2" t="n">
        <v>1.79</v>
      </c>
      <c r="H65" s="4" t="n">
        <v>3211</v>
      </c>
      <c r="I65" s="4" t="n">
        <v>85</v>
      </c>
      <c r="J65" s="4" t="n">
        <v>52</v>
      </c>
      <c r="K65" s="2" t="n">
        <v>6</v>
      </c>
      <c r="L65" s="2" t="n">
        <v>0</v>
      </c>
      <c r="M65" s="2" t="n">
        <v>1</v>
      </c>
      <c r="N65" s="5" t="n">
        <f aca="false">IFERROR(I65/H65,"")</f>
        <v>0.0264715042042977</v>
      </c>
      <c r="O65" s="6" t="n">
        <f aca="false">IFERROR(J65/I65,"")</f>
        <v>0.611764705882353</v>
      </c>
      <c r="P65" s="7" t="n">
        <f aca="false">IFERROR(1000*J65/H65,"")</f>
        <v>16.1943319838057</v>
      </c>
      <c r="Q65" s="2" t="n">
        <v>0.99</v>
      </c>
      <c r="R65" s="2" t="n">
        <v>1.36</v>
      </c>
      <c r="S65" s="2" t="s">
        <v>31</v>
      </c>
      <c r="T65" s="2" t="n">
        <v>9266</v>
      </c>
      <c r="U65" s="6" t="n">
        <v>0.42</v>
      </c>
      <c r="V65" s="2" t="n">
        <v>8.1</v>
      </c>
    </row>
    <row r="66" customFormat="false" ht="15" hidden="false" customHeight="false" outlineLevel="0" collapsed="false">
      <c r="A66" s="2" t="s">
        <v>152</v>
      </c>
      <c r="B66" s="3" t="n">
        <v>46300.3550347222</v>
      </c>
      <c r="C66" s="2" t="s">
        <v>162</v>
      </c>
      <c r="D66" s="2" t="s">
        <v>163</v>
      </c>
      <c r="E66" s="2" t="s">
        <v>155</v>
      </c>
      <c r="F66" s="2"/>
      <c r="G66" s="2" t="n">
        <v>2.77</v>
      </c>
      <c r="H66" s="4" t="n">
        <v>4229</v>
      </c>
      <c r="I66" s="4" t="n">
        <v>61</v>
      </c>
      <c r="J66" s="4" t="n">
        <v>33</v>
      </c>
      <c r="K66" s="2" t="n">
        <v>1</v>
      </c>
      <c r="L66" s="2" t="n">
        <v>0</v>
      </c>
      <c r="M66" s="2" t="n">
        <v>1</v>
      </c>
      <c r="N66" s="5" t="n">
        <f aca="false">IFERROR(I66/H66,"")</f>
        <v>0.0144242137621187</v>
      </c>
      <c r="O66" s="6" t="n">
        <f aca="false">IFERROR(J66/I66,"")</f>
        <v>0.540983606557377</v>
      </c>
      <c r="P66" s="7" t="n">
        <f aca="false">IFERROR(1000*J66/H66,"")</f>
        <v>7.80326318278553</v>
      </c>
      <c r="Q66" s="2" t="n">
        <v>1.01</v>
      </c>
      <c r="R66" s="2" t="n">
        <v>0.65</v>
      </c>
      <c r="S66" s="2" t="s">
        <v>51</v>
      </c>
      <c r="T66" s="2" t="n">
        <v>9540</v>
      </c>
      <c r="U66" s="6" t="n">
        <v>0.39</v>
      </c>
      <c r="V66" s="2" t="n">
        <v>8.1</v>
      </c>
    </row>
    <row r="67" customFormat="false" ht="15" hidden="false" customHeight="false" outlineLevel="0" collapsed="false">
      <c r="A67" s="2" t="s">
        <v>152</v>
      </c>
      <c r="B67" s="3" t="n">
        <v>46300.2503703704</v>
      </c>
      <c r="C67" s="2" t="s">
        <v>164</v>
      </c>
      <c r="D67" s="2" t="s">
        <v>165</v>
      </c>
      <c r="E67" s="2" t="s">
        <v>155</v>
      </c>
      <c r="F67" s="2"/>
      <c r="G67" s="2" t="n">
        <v>2.87</v>
      </c>
      <c r="H67" s="4" t="n">
        <v>4188</v>
      </c>
      <c r="I67" s="4" t="n">
        <v>124</v>
      </c>
      <c r="J67" s="4" t="n">
        <v>68</v>
      </c>
      <c r="K67" s="2" t="n">
        <v>5</v>
      </c>
      <c r="L67" s="2" t="n">
        <v>0</v>
      </c>
      <c r="M67" s="2" t="n">
        <v>0</v>
      </c>
      <c r="N67" s="5" t="n">
        <f aca="false">IFERROR(I67/H67,"")</f>
        <v>0.0296084049665712</v>
      </c>
      <c r="O67" s="6" t="n">
        <f aca="false">IFERROR(J67/I67,"")</f>
        <v>0.548387096774194</v>
      </c>
      <c r="P67" s="7" t="n">
        <f aca="false">IFERROR(1000*J67/H67,"")</f>
        <v>16.2368672397326</v>
      </c>
      <c r="Q67" s="2" t="n">
        <v>1</v>
      </c>
      <c r="R67" s="2" t="n">
        <v>1.36</v>
      </c>
      <c r="S67" s="2" t="s">
        <v>34</v>
      </c>
      <c r="T67" s="2" t="n">
        <v>9426</v>
      </c>
      <c r="U67" s="6" t="n">
        <v>0.44</v>
      </c>
      <c r="V67" s="2" t="n">
        <v>8</v>
      </c>
    </row>
    <row r="68" customFormat="false" ht="15" hidden="false" customHeight="false" outlineLevel="0" collapsed="false">
      <c r="A68" s="2" t="s">
        <v>152</v>
      </c>
      <c r="B68" s="3" t="n">
        <v>46300.1261342593</v>
      </c>
      <c r="C68" s="2" t="s">
        <v>166</v>
      </c>
      <c r="D68" s="2" t="s">
        <v>167</v>
      </c>
      <c r="E68" s="2" t="s">
        <v>155</v>
      </c>
      <c r="F68" s="2"/>
      <c r="G68" s="2" t="n">
        <v>3</v>
      </c>
      <c r="H68" s="4" t="n">
        <v>4179</v>
      </c>
      <c r="I68" s="4" t="n">
        <v>88</v>
      </c>
      <c r="J68" s="4" t="n">
        <v>49</v>
      </c>
      <c r="K68" s="2" t="n">
        <v>4</v>
      </c>
      <c r="L68" s="2" t="n">
        <v>0</v>
      </c>
      <c r="M68" s="2" t="n">
        <v>2</v>
      </c>
      <c r="N68" s="5" t="n">
        <f aca="false">IFERROR(I68/H68,"")</f>
        <v>0.0210576692988753</v>
      </c>
      <c r="O68" s="6" t="n">
        <f aca="false">IFERROR(J68/I68,"")</f>
        <v>0.556818181818182</v>
      </c>
      <c r="P68" s="7" t="n">
        <f aca="false">IFERROR(1000*J68/H68,"")</f>
        <v>11.7252931323283</v>
      </c>
      <c r="Q68" s="2" t="n">
        <v>1</v>
      </c>
      <c r="R68" s="2" t="n">
        <v>0.98</v>
      </c>
      <c r="S68" s="2" t="s">
        <v>31</v>
      </c>
      <c r="T68" s="2" t="n">
        <v>9889</v>
      </c>
      <c r="U68" s="6" t="n">
        <v>0.46</v>
      </c>
      <c r="V68" s="2" t="n">
        <v>8</v>
      </c>
    </row>
    <row r="69" customFormat="false" ht="15" hidden="false" customHeight="false" outlineLevel="0" collapsed="false">
      <c r="A69" s="2" t="s">
        <v>152</v>
      </c>
      <c r="B69" s="3" t="n">
        <v>46299.9721412037</v>
      </c>
      <c r="C69" s="2" t="s">
        <v>168</v>
      </c>
      <c r="D69" s="2" t="s">
        <v>169</v>
      </c>
      <c r="E69" s="2" t="s">
        <v>155</v>
      </c>
      <c r="F69" s="2"/>
      <c r="G69" s="2" t="n">
        <v>3.15</v>
      </c>
      <c r="H69" s="4" t="n">
        <v>8423</v>
      </c>
      <c r="I69" s="4" t="n">
        <v>115</v>
      </c>
      <c r="J69" s="4" t="n">
        <v>78</v>
      </c>
      <c r="K69" s="2" t="n">
        <v>3</v>
      </c>
      <c r="L69" s="2" t="n">
        <v>0</v>
      </c>
      <c r="M69" s="2" t="n">
        <v>3</v>
      </c>
      <c r="N69" s="5" t="n">
        <f aca="false">IFERROR(I69/H69,"")</f>
        <v>0.013653092722308</v>
      </c>
      <c r="O69" s="6" t="n">
        <f aca="false">IFERROR(J69/I69,"")</f>
        <v>0.678260869565217</v>
      </c>
      <c r="P69" s="7" t="n">
        <f aca="false">IFERROR(1000*J69/H69,"")</f>
        <v>9.26035854208714</v>
      </c>
      <c r="Q69" s="2" t="n">
        <v>1</v>
      </c>
      <c r="R69" s="2" t="n">
        <v>0.78</v>
      </c>
      <c r="S69" s="2" t="s">
        <v>51</v>
      </c>
      <c r="T69" s="2" t="n">
        <v>10957</v>
      </c>
      <c r="U69" s="6" t="n">
        <v>0.36</v>
      </c>
      <c r="V69" s="2" t="n">
        <v>8.2</v>
      </c>
    </row>
    <row r="70" customFormat="false" ht="15" hidden="false" customHeight="false" outlineLevel="0" collapsed="false">
      <c r="A70" s="2" t="s">
        <v>170</v>
      </c>
      <c r="B70" s="3" t="n">
        <v>46302.6688078704</v>
      </c>
      <c r="C70" s="2" t="s">
        <v>171</v>
      </c>
      <c r="D70" s="2" t="s">
        <v>172</v>
      </c>
      <c r="E70" s="2" t="s">
        <v>155</v>
      </c>
      <c r="F70" s="2"/>
      <c r="G70" s="2" t="n">
        <v>0.46</v>
      </c>
      <c r="H70" s="4" t="n">
        <v>5</v>
      </c>
      <c r="I70" s="4" t="n">
        <v>2</v>
      </c>
      <c r="J70" s="4" t="n">
        <v>0</v>
      </c>
      <c r="K70" s="2" t="n">
        <v>0</v>
      </c>
      <c r="L70" s="2" t="n">
        <v>0</v>
      </c>
      <c r="M70" s="2" t="n">
        <v>0</v>
      </c>
      <c r="N70" s="5" t="n">
        <f aca="false">IFERROR(I70/H70,"")</f>
        <v>0.4</v>
      </c>
      <c r="O70" s="6" t="n">
        <f aca="false">IFERROR(J70/I70,"")</f>
        <v>0</v>
      </c>
      <c r="P70" s="7" t="n">
        <f aca="false">IFERROR(1000*J70/H70,"")</f>
        <v>0</v>
      </c>
      <c r="Q70" s="2" t="n">
        <v>0.04</v>
      </c>
      <c r="R70" s="2"/>
      <c r="S70" s="2" t="s">
        <v>26</v>
      </c>
      <c r="T70" s="2" t="n">
        <v>9435</v>
      </c>
      <c r="U70" s="6" t="n">
        <v>0.41</v>
      </c>
      <c r="V70" s="2" t="n">
        <v>8.8</v>
      </c>
    </row>
    <row r="71" customFormat="false" ht="15" hidden="false" customHeight="false" outlineLevel="0" collapsed="false">
      <c r="A71" s="2" t="s">
        <v>170</v>
      </c>
      <c r="B71" s="3" t="n">
        <v>46302.285162037</v>
      </c>
      <c r="C71" s="2" t="s">
        <v>173</v>
      </c>
      <c r="D71" s="2" t="s">
        <v>174</v>
      </c>
      <c r="E71" s="2" t="s">
        <v>155</v>
      </c>
      <c r="F71" s="2"/>
      <c r="G71" s="2" t="n">
        <v>0.84</v>
      </c>
      <c r="H71" s="4" t="n">
        <v>265</v>
      </c>
      <c r="I71" s="4" t="n">
        <v>54</v>
      </c>
      <c r="J71" s="4" t="n">
        <v>41</v>
      </c>
      <c r="K71" s="2" t="n">
        <v>3</v>
      </c>
      <c r="L71" s="2" t="n">
        <v>0</v>
      </c>
      <c r="M71" s="2" t="n">
        <v>1</v>
      </c>
      <c r="N71" s="5" t="n">
        <f aca="false">IFERROR(I71/H71,"")</f>
        <v>0.20377358490566</v>
      </c>
      <c r="O71" s="6" t="n">
        <f aca="false">IFERROR(J71/I71,"")</f>
        <v>0.759259259259259</v>
      </c>
      <c r="P71" s="7" t="n">
        <f aca="false">IFERROR(1000*J71/H71,"")</f>
        <v>154.716981132075</v>
      </c>
      <c r="Q71" s="2" t="n">
        <v>1.96</v>
      </c>
      <c r="R71" s="2"/>
      <c r="S71" s="2" t="s">
        <v>26</v>
      </c>
      <c r="T71" s="2" t="n">
        <v>9622</v>
      </c>
      <c r="U71" s="6" t="n">
        <v>0.41</v>
      </c>
      <c r="V71" s="2" t="n">
        <v>8</v>
      </c>
    </row>
    <row r="72" customFormat="false" ht="15" hidden="false" customHeight="false" outlineLevel="0" collapsed="false">
      <c r="A72" s="2" t="s">
        <v>170</v>
      </c>
      <c r="B72" s="3" t="n">
        <v>46301.7992708333</v>
      </c>
      <c r="C72" s="2" t="s">
        <v>175</v>
      </c>
      <c r="D72" s="2" t="s">
        <v>176</v>
      </c>
      <c r="E72" s="2" t="s">
        <v>155</v>
      </c>
      <c r="F72" s="2" t="s">
        <v>177</v>
      </c>
      <c r="G72" s="2" t="n">
        <v>1.33</v>
      </c>
      <c r="H72" s="4" t="n">
        <v>11</v>
      </c>
      <c r="I72" s="4" t="n">
        <v>4</v>
      </c>
      <c r="J72" s="4" t="n">
        <v>1</v>
      </c>
      <c r="K72" s="2" t="n">
        <v>1</v>
      </c>
      <c r="L72" s="2" t="n">
        <v>0</v>
      </c>
      <c r="M72" s="2" t="n">
        <v>0</v>
      </c>
      <c r="N72" s="5" t="n">
        <f aca="false">IFERROR(I72/H72,"")</f>
        <v>0.363636363636364</v>
      </c>
      <c r="O72" s="6" t="n">
        <f aca="false">IFERROR(J72/I72,"")</f>
        <v>0.25</v>
      </c>
      <c r="P72" s="7" t="n">
        <f aca="false">IFERROR(1000*J72/H72,"")</f>
        <v>90.9090909090909</v>
      </c>
      <c r="Q72" s="2" t="n">
        <v>0.85</v>
      </c>
      <c r="R72" s="2"/>
      <c r="S72" s="2" t="s">
        <v>26</v>
      </c>
      <c r="T72" s="2" t="n">
        <v>10087</v>
      </c>
      <c r="U72" s="6" t="n">
        <v>0.46</v>
      </c>
      <c r="V72" s="2" t="n">
        <v>8.4</v>
      </c>
    </row>
    <row r="73" customFormat="false" ht="15" hidden="false" customHeight="false" outlineLevel="0" collapsed="false">
      <c r="A73" s="2" t="s">
        <v>170</v>
      </c>
      <c r="B73" s="3" t="n">
        <v>46301.7095601852</v>
      </c>
      <c r="C73" s="2" t="s">
        <v>178</v>
      </c>
      <c r="D73" s="2" t="s">
        <v>179</v>
      </c>
      <c r="E73" s="2" t="s">
        <v>155</v>
      </c>
      <c r="F73" s="2"/>
      <c r="G73" s="2" t="n">
        <v>1.42</v>
      </c>
      <c r="H73" s="4" t="n">
        <v>13</v>
      </c>
      <c r="I73" s="4" t="n">
        <v>5</v>
      </c>
      <c r="J73" s="4" t="n">
        <v>2</v>
      </c>
      <c r="K73" s="2" t="n">
        <v>0</v>
      </c>
      <c r="L73" s="2" t="n">
        <v>0</v>
      </c>
      <c r="M73" s="2" t="n">
        <v>0</v>
      </c>
      <c r="N73" s="5" t="n">
        <f aca="false">IFERROR(I73/H73,"")</f>
        <v>0.384615384615385</v>
      </c>
      <c r="O73" s="6" t="n">
        <f aca="false">IFERROR(J73/I73,"")</f>
        <v>0.4</v>
      </c>
      <c r="P73" s="7" t="n">
        <f aca="false">IFERROR(1000*J73/H73,"")</f>
        <v>153.846153846154</v>
      </c>
      <c r="Q73" s="2" t="n">
        <v>1</v>
      </c>
      <c r="R73" s="2"/>
      <c r="S73" s="2" t="s">
        <v>26</v>
      </c>
      <c r="T73" s="2" t="n">
        <v>9159</v>
      </c>
      <c r="U73" s="6" t="n">
        <v>0.38</v>
      </c>
      <c r="V73" s="2" t="n">
        <v>8.1</v>
      </c>
    </row>
    <row r="74" customFormat="false" ht="15" hidden="false" customHeight="false" outlineLevel="0" collapsed="false">
      <c r="A74" s="2" t="s">
        <v>170</v>
      </c>
      <c r="B74" s="3" t="n">
        <v>46301.334537037</v>
      </c>
      <c r="C74" s="2" t="s">
        <v>180</v>
      </c>
      <c r="D74" s="2" t="s">
        <v>181</v>
      </c>
      <c r="E74" s="2" t="s">
        <v>155</v>
      </c>
      <c r="F74" s="2"/>
      <c r="G74" s="2" t="n">
        <v>1.79</v>
      </c>
      <c r="H74" s="4" t="n">
        <v>3354</v>
      </c>
      <c r="I74" s="4" t="n">
        <v>141</v>
      </c>
      <c r="J74" s="4" t="n">
        <v>103</v>
      </c>
      <c r="K74" s="2" t="n">
        <v>4</v>
      </c>
      <c r="L74" s="2" t="n">
        <v>0</v>
      </c>
      <c r="M74" s="2" t="n">
        <v>1</v>
      </c>
      <c r="N74" s="5" t="n">
        <f aca="false">IFERROR(I74/H74,"")</f>
        <v>0.0420393559928444</v>
      </c>
      <c r="O74" s="6" t="n">
        <f aca="false">IFERROR(J74/I74,"")</f>
        <v>0.730496453900709</v>
      </c>
      <c r="P74" s="7" t="n">
        <f aca="false">IFERROR(1000*J74/H74,"")</f>
        <v>30.7096004770423</v>
      </c>
      <c r="Q74" s="2" t="n">
        <v>258</v>
      </c>
      <c r="R74" s="2" t="n">
        <v>0.95</v>
      </c>
      <c r="S74" s="2" t="s">
        <v>31</v>
      </c>
      <c r="T74" s="2" t="n">
        <v>9413</v>
      </c>
      <c r="U74" s="6" t="n">
        <v>0.41</v>
      </c>
      <c r="V74" s="2" t="n">
        <v>8</v>
      </c>
    </row>
    <row r="75" customFormat="false" ht="15" hidden="false" customHeight="false" outlineLevel="0" collapsed="false">
      <c r="A75" s="2" t="s">
        <v>170</v>
      </c>
      <c r="B75" s="3" t="n">
        <v>46300.4857986111</v>
      </c>
      <c r="C75" s="2" t="s">
        <v>182</v>
      </c>
      <c r="D75" s="2" t="s">
        <v>183</v>
      </c>
      <c r="E75" s="2" t="s">
        <v>155</v>
      </c>
      <c r="F75" s="2"/>
      <c r="G75" s="2" t="n">
        <v>2.64</v>
      </c>
      <c r="H75" s="4" t="n">
        <v>4457</v>
      </c>
      <c r="I75" s="4" t="n">
        <v>159</v>
      </c>
      <c r="J75" s="4" t="n">
        <v>105</v>
      </c>
      <c r="K75" s="2" t="n">
        <v>5</v>
      </c>
      <c r="L75" s="2" t="n">
        <v>0</v>
      </c>
      <c r="M75" s="2" t="n">
        <v>1</v>
      </c>
      <c r="N75" s="5" t="n">
        <f aca="false">IFERROR(I75/H75,"")</f>
        <v>0.0356742203275746</v>
      </c>
      <c r="O75" s="6" t="n">
        <f aca="false">IFERROR(J75/I75,"")</f>
        <v>0.660377358490566</v>
      </c>
      <c r="P75" s="7" t="n">
        <f aca="false">IFERROR(1000*J75/H75,"")</f>
        <v>23.5584473861342</v>
      </c>
      <c r="Q75" s="2" t="n">
        <v>1</v>
      </c>
      <c r="R75" s="2" t="n">
        <v>0.73</v>
      </c>
      <c r="S75" s="2" t="s">
        <v>31</v>
      </c>
      <c r="T75" s="2" t="n">
        <v>9738</v>
      </c>
      <c r="U75" s="6" t="n">
        <v>0.33</v>
      </c>
      <c r="V75" s="2" t="n">
        <v>8.3</v>
      </c>
    </row>
    <row r="76" customFormat="false" ht="15" hidden="false" customHeight="false" outlineLevel="0" collapsed="false">
      <c r="A76" s="2" t="s">
        <v>170</v>
      </c>
      <c r="B76" s="3" t="n">
        <v>46300.3902777778</v>
      </c>
      <c r="C76" s="2" t="s">
        <v>184</v>
      </c>
      <c r="D76" s="2" t="s">
        <v>185</v>
      </c>
      <c r="E76" s="2" t="s">
        <v>155</v>
      </c>
      <c r="F76" s="2"/>
      <c r="G76" s="2" t="n">
        <v>2.73</v>
      </c>
      <c r="H76" s="4" t="n">
        <v>4455</v>
      </c>
      <c r="I76" s="4" t="n">
        <v>202</v>
      </c>
      <c r="J76" s="4" t="n">
        <v>156</v>
      </c>
      <c r="K76" s="2" t="n">
        <v>6</v>
      </c>
      <c r="L76" s="2" t="n">
        <v>0</v>
      </c>
      <c r="M76" s="2" t="n">
        <v>0</v>
      </c>
      <c r="N76" s="5" t="n">
        <f aca="false">IFERROR(I76/H76,"")</f>
        <v>0.0453423120089787</v>
      </c>
      <c r="O76" s="6" t="n">
        <f aca="false">IFERROR(J76/I76,"")</f>
        <v>0.772277227722772</v>
      </c>
      <c r="P76" s="7" t="n">
        <f aca="false">IFERROR(1000*J76/H76,"")</f>
        <v>35.016835016835</v>
      </c>
      <c r="Q76" s="2" t="n">
        <v>1</v>
      </c>
      <c r="R76" s="2" t="n">
        <v>1.09</v>
      </c>
      <c r="S76" s="2" t="s">
        <v>31</v>
      </c>
      <c r="T76" s="2" t="n">
        <v>9753</v>
      </c>
      <c r="U76" s="6" t="n">
        <v>0.44</v>
      </c>
      <c r="V76" s="2" t="n">
        <v>8.3</v>
      </c>
    </row>
    <row r="77" customFormat="false" ht="15" hidden="false" customHeight="false" outlineLevel="0" collapsed="false">
      <c r="A77" s="2" t="s">
        <v>170</v>
      </c>
      <c r="B77" s="3" t="n">
        <v>46299.8012847222</v>
      </c>
      <c r="C77" s="2" t="s">
        <v>186</v>
      </c>
      <c r="D77" s="2" t="s">
        <v>187</v>
      </c>
      <c r="E77" s="2" t="s">
        <v>155</v>
      </c>
      <c r="F77" s="2"/>
      <c r="G77" s="2" t="n">
        <v>3.32</v>
      </c>
      <c r="H77" s="4" t="n">
        <v>8888</v>
      </c>
      <c r="I77" s="4" t="n">
        <v>414</v>
      </c>
      <c r="J77" s="4" t="n">
        <v>323</v>
      </c>
      <c r="K77" s="2" t="n">
        <v>8</v>
      </c>
      <c r="L77" s="2" t="n">
        <v>0</v>
      </c>
      <c r="M77" s="2" t="n">
        <v>2</v>
      </c>
      <c r="N77" s="5" t="n">
        <f aca="false">IFERROR(I77/H77,"")</f>
        <v>0.0465796579657966</v>
      </c>
      <c r="O77" s="6" t="n">
        <f aca="false">IFERROR(J77/I77,"")</f>
        <v>0.780193236714976</v>
      </c>
      <c r="P77" s="7" t="n">
        <f aca="false">IFERROR(1000*J77/H77,"")</f>
        <v>36.3411341134113</v>
      </c>
      <c r="Q77" s="2" t="n">
        <v>1.02</v>
      </c>
      <c r="R77" s="2" t="n">
        <v>1.13</v>
      </c>
      <c r="S77" s="2" t="s">
        <v>31</v>
      </c>
      <c r="T77" s="2" t="n">
        <v>9427</v>
      </c>
      <c r="U77" s="6" t="n">
        <v>0.41</v>
      </c>
      <c r="V77" s="2" t="n">
        <v>8</v>
      </c>
    </row>
    <row r="78" customFormat="false" ht="15" hidden="false" customHeight="false" outlineLevel="0" collapsed="false">
      <c r="A78" s="2" t="s">
        <v>170</v>
      </c>
      <c r="B78" s="3" t="n">
        <v>46299.7083101852</v>
      </c>
      <c r="C78" s="2" t="s">
        <v>188</v>
      </c>
      <c r="D78" s="2" t="s">
        <v>189</v>
      </c>
      <c r="E78" s="2" t="s">
        <v>155</v>
      </c>
      <c r="F78" s="2"/>
      <c r="G78" s="2" t="n">
        <v>3.42</v>
      </c>
      <c r="H78" s="4" t="n">
        <v>8513</v>
      </c>
      <c r="I78" s="4" t="n">
        <v>541</v>
      </c>
      <c r="J78" s="4" t="n">
        <v>400</v>
      </c>
      <c r="K78" s="2" t="n">
        <v>10</v>
      </c>
      <c r="L78" s="2" t="n">
        <v>0</v>
      </c>
      <c r="M78" s="2" t="n">
        <v>2</v>
      </c>
      <c r="N78" s="5" t="n">
        <f aca="false">IFERROR(I78/H78,"")</f>
        <v>0.0635498649124868</v>
      </c>
      <c r="O78" s="6" t="n">
        <f aca="false">IFERROR(J78/I78,"")</f>
        <v>0.739371534195934</v>
      </c>
      <c r="P78" s="7" t="n">
        <f aca="false">IFERROR(1000*J78/H78,"")</f>
        <v>46.9869611182897</v>
      </c>
      <c r="Q78" s="2" t="n">
        <v>0.98</v>
      </c>
      <c r="R78" s="2" t="n">
        <v>1.46</v>
      </c>
      <c r="S78" s="2" t="s">
        <v>31</v>
      </c>
      <c r="T78" s="2" t="n">
        <v>9434</v>
      </c>
      <c r="U78" s="6" t="n">
        <v>0.43</v>
      </c>
      <c r="V78" s="2" t="n">
        <v>8.2</v>
      </c>
    </row>
    <row r="79" customFormat="false" ht="15" hidden="false" customHeight="false" outlineLevel="0" collapsed="false">
      <c r="A79" s="2" t="s">
        <v>170</v>
      </c>
      <c r="B79" s="3" t="n">
        <v>46298.6673958333</v>
      </c>
      <c r="C79" s="2" t="s">
        <v>190</v>
      </c>
      <c r="D79" s="2" t="s">
        <v>191</v>
      </c>
      <c r="E79" s="2" t="s">
        <v>155</v>
      </c>
      <c r="F79" s="2"/>
      <c r="G79" s="2" t="n">
        <v>4.46</v>
      </c>
      <c r="H79" s="4" t="n">
        <v>8607</v>
      </c>
      <c r="I79" s="4" t="n">
        <v>242</v>
      </c>
      <c r="J79" s="4" t="n">
        <v>199</v>
      </c>
      <c r="K79" s="2" t="n">
        <v>5</v>
      </c>
      <c r="L79" s="2" t="n">
        <v>0</v>
      </c>
      <c r="M79" s="2" t="n">
        <v>1</v>
      </c>
      <c r="N79" s="5" t="n">
        <f aca="false">IFERROR(I79/H79,"")</f>
        <v>0.0281166492389915</v>
      </c>
      <c r="O79" s="6" t="n">
        <f aca="false">IFERROR(J79/I79,"")</f>
        <v>0.822314049586777</v>
      </c>
      <c r="P79" s="7" t="n">
        <f aca="false">IFERROR(1000*J79/H79,"")</f>
        <v>23.1207156965261</v>
      </c>
      <c r="Q79" s="2" t="n">
        <v>1</v>
      </c>
      <c r="R79" s="2" t="n">
        <v>0.72</v>
      </c>
      <c r="S79" s="2" t="s">
        <v>51</v>
      </c>
      <c r="T79" s="2" t="n">
        <v>9875</v>
      </c>
      <c r="U79" s="6" t="n">
        <v>0.44</v>
      </c>
      <c r="V79" s="2" t="n">
        <v>8.4</v>
      </c>
    </row>
    <row r="80" customFormat="false" ht="15" hidden="false" customHeight="false" outlineLevel="0" collapsed="false">
      <c r="A80" s="2" t="s">
        <v>170</v>
      </c>
      <c r="B80" s="3" t="n">
        <v>46298.5584837963</v>
      </c>
      <c r="C80" s="2" t="s">
        <v>192</v>
      </c>
      <c r="D80" s="2" t="s">
        <v>193</v>
      </c>
      <c r="E80" s="2" t="s">
        <v>155</v>
      </c>
      <c r="F80" s="2"/>
      <c r="G80" s="2" t="n">
        <v>4.57</v>
      </c>
      <c r="H80" s="4" t="n">
        <v>8653</v>
      </c>
      <c r="I80" s="4" t="n">
        <v>223</v>
      </c>
      <c r="J80" s="4" t="n">
        <v>116</v>
      </c>
      <c r="K80" s="2" t="n">
        <v>7</v>
      </c>
      <c r="L80" s="2" t="n">
        <v>0</v>
      </c>
      <c r="M80" s="2" t="n">
        <v>3</v>
      </c>
      <c r="N80" s="5" t="n">
        <f aca="false">IFERROR(I80/H80,"")</f>
        <v>0.0257714087599676</v>
      </c>
      <c r="O80" s="6" t="n">
        <f aca="false">IFERROR(J80/I80,"")</f>
        <v>0.520179372197309</v>
      </c>
      <c r="P80" s="7" t="n">
        <f aca="false">IFERROR(1000*J80/H80,"")</f>
        <v>13.4057552294002</v>
      </c>
      <c r="Q80" s="2" t="n">
        <v>1</v>
      </c>
      <c r="R80" s="2" t="n">
        <v>0.42</v>
      </c>
      <c r="S80" s="2" t="s">
        <v>51</v>
      </c>
      <c r="T80" s="2" t="n">
        <v>9842</v>
      </c>
      <c r="U80" s="6" t="n">
        <v>0.4</v>
      </c>
      <c r="V80" s="2" t="n">
        <v>8</v>
      </c>
    </row>
    <row r="81" customFormat="false" ht="15" hidden="false" customHeight="false" outlineLevel="0" collapsed="false">
      <c r="A81" s="2" t="s">
        <v>170</v>
      </c>
      <c r="B81" s="3" t="n">
        <v>46297.8135069445</v>
      </c>
      <c r="C81" s="2" t="s">
        <v>194</v>
      </c>
      <c r="D81" s="2" t="s">
        <v>195</v>
      </c>
      <c r="E81" s="2" t="s">
        <v>155</v>
      </c>
      <c r="F81" s="2"/>
      <c r="G81" s="2" t="n">
        <v>5.31</v>
      </c>
      <c r="H81" s="4" t="n">
        <v>8607</v>
      </c>
      <c r="I81" s="4" t="n">
        <v>385</v>
      </c>
      <c r="J81" s="4" t="n">
        <v>290</v>
      </c>
      <c r="K81" s="2" t="n">
        <v>11</v>
      </c>
      <c r="L81" s="2" t="n">
        <v>0</v>
      </c>
      <c r="M81" s="2" t="n">
        <v>2</v>
      </c>
      <c r="N81" s="5" t="n">
        <f aca="false">IFERROR(I81/H81,"")</f>
        <v>0.0447310328802138</v>
      </c>
      <c r="O81" s="6" t="n">
        <f aca="false">IFERROR(J81/I81,"")</f>
        <v>0.753246753246753</v>
      </c>
      <c r="P81" s="7" t="n">
        <f aca="false">IFERROR(1000*J81/H81,"")</f>
        <v>33.6935052863948</v>
      </c>
      <c r="Q81" s="2" t="n">
        <v>0.69</v>
      </c>
      <c r="R81" s="2" t="n">
        <v>1.05</v>
      </c>
      <c r="S81" s="2" t="s">
        <v>31</v>
      </c>
      <c r="T81" s="2" t="n">
        <v>9963</v>
      </c>
      <c r="U81" s="6" t="n">
        <v>0.45</v>
      </c>
      <c r="V81" s="2" t="n">
        <v>8.3</v>
      </c>
    </row>
    <row r="82" customFormat="false" ht="15" hidden="false" customHeight="false" outlineLevel="0" collapsed="false">
      <c r="A82" s="2" t="s">
        <v>170</v>
      </c>
      <c r="B82" s="3" t="n">
        <v>46297.7301273148</v>
      </c>
      <c r="C82" s="2" t="s">
        <v>196</v>
      </c>
      <c r="D82" s="2" t="s">
        <v>197</v>
      </c>
      <c r="E82" s="2" t="s">
        <v>155</v>
      </c>
      <c r="F82" s="2"/>
      <c r="G82" s="2" t="n">
        <v>5.39</v>
      </c>
      <c r="H82" s="4" t="n">
        <v>12587</v>
      </c>
      <c r="I82" s="4" t="n">
        <v>521</v>
      </c>
      <c r="J82" s="4" t="n">
        <v>358</v>
      </c>
      <c r="K82" s="2" t="n">
        <v>14</v>
      </c>
      <c r="L82" s="2" t="n">
        <v>0</v>
      </c>
      <c r="M82" s="2" t="n">
        <v>2</v>
      </c>
      <c r="N82" s="5" t="n">
        <f aca="false">IFERROR(I82/H82,"")</f>
        <v>0.0413919122904584</v>
      </c>
      <c r="O82" s="6" t="n">
        <f aca="false">IFERROR(J82/I82,"")</f>
        <v>0.687140115163148</v>
      </c>
      <c r="P82" s="7" t="n">
        <f aca="false">IFERROR(1000*J82/H82,"")</f>
        <v>28.4420433780885</v>
      </c>
      <c r="Q82" s="2" t="n">
        <v>1.01</v>
      </c>
      <c r="R82" s="2" t="n">
        <v>0.88</v>
      </c>
      <c r="S82" s="2" t="s">
        <v>31</v>
      </c>
      <c r="T82" s="2" t="n">
        <v>10249</v>
      </c>
      <c r="U82" s="6" t="n">
        <v>0.39</v>
      </c>
      <c r="V82" s="2" t="n">
        <v>8</v>
      </c>
    </row>
    <row r="83" customFormat="false" ht="15" hidden="false" customHeight="false" outlineLevel="0" collapsed="false">
      <c r="A83" s="2" t="s">
        <v>170</v>
      </c>
      <c r="B83" s="3" t="n">
        <v>46297.635150463</v>
      </c>
      <c r="C83" s="2" t="s">
        <v>198</v>
      </c>
      <c r="D83" s="2" t="s">
        <v>199</v>
      </c>
      <c r="E83" s="2" t="s">
        <v>155</v>
      </c>
      <c r="F83" s="2"/>
      <c r="G83" s="2" t="n">
        <v>5.49</v>
      </c>
      <c r="H83" s="4" t="n">
        <v>12518</v>
      </c>
      <c r="I83" s="4" t="n">
        <v>814</v>
      </c>
      <c r="J83" s="4" t="n">
        <v>615</v>
      </c>
      <c r="K83" s="2" t="n">
        <v>17</v>
      </c>
      <c r="L83" s="2" t="n">
        <v>2</v>
      </c>
      <c r="M83" s="2" t="n">
        <v>5</v>
      </c>
      <c r="N83" s="5" t="n">
        <f aca="false">IFERROR(I83/H83,"")</f>
        <v>0.0650263620386643</v>
      </c>
      <c r="O83" s="6" t="n">
        <f aca="false">IFERROR(J83/I83,"")</f>
        <v>0.755528255528256</v>
      </c>
      <c r="P83" s="7" t="n">
        <f aca="false">IFERROR(1000*J83/H83,"")</f>
        <v>49.1292538744208</v>
      </c>
      <c r="Q83" s="2" t="n">
        <v>1</v>
      </c>
      <c r="R83" s="2" t="n">
        <v>1.53</v>
      </c>
      <c r="S83" s="2" t="s">
        <v>34</v>
      </c>
      <c r="T83" s="2" t="n">
        <v>10495</v>
      </c>
      <c r="U83" s="6" t="n">
        <v>0.41</v>
      </c>
      <c r="V83" s="2" t="n">
        <v>8.3</v>
      </c>
    </row>
    <row r="84" customFormat="false" ht="15" hidden="false" customHeight="false" outlineLevel="0" collapsed="false">
      <c r="A84" s="2" t="s">
        <v>200</v>
      </c>
      <c r="B84" s="3" t="n">
        <v>46302.6688078704</v>
      </c>
      <c r="C84" s="2" t="s">
        <v>201</v>
      </c>
      <c r="D84" s="2" t="s">
        <v>202</v>
      </c>
      <c r="E84" s="2" t="s">
        <v>155</v>
      </c>
      <c r="F84" s="2"/>
      <c r="G84" s="2" t="n">
        <v>0.46</v>
      </c>
      <c r="H84" s="4" t="n">
        <v>4671</v>
      </c>
      <c r="I84" s="4" t="n">
        <v>1818</v>
      </c>
      <c r="J84" s="4" t="n">
        <v>1535</v>
      </c>
      <c r="K84" s="2" t="n">
        <v>84</v>
      </c>
      <c r="L84" s="2" t="n">
        <v>4</v>
      </c>
      <c r="M84" s="2" t="n">
        <v>7</v>
      </c>
      <c r="N84" s="5" t="n">
        <f aca="false">IFERROR(I84/H84,"")</f>
        <v>0.389210019267823</v>
      </c>
      <c r="O84" s="6" t="n">
        <f aca="false">IFERROR(J84/I84,"")</f>
        <v>0.844334433443344</v>
      </c>
      <c r="P84" s="7" t="n">
        <f aca="false">IFERROR(1000*J84/H84,"")</f>
        <v>328.62342110897</v>
      </c>
      <c r="Q84" s="2" t="n">
        <v>0.26</v>
      </c>
      <c r="R84" s="2"/>
      <c r="S84" s="2" t="s">
        <v>26</v>
      </c>
      <c r="T84" s="2" t="n">
        <v>10334</v>
      </c>
      <c r="U84" s="6" t="n">
        <v>0.38</v>
      </c>
      <c r="V84" s="2" t="n">
        <v>7.9</v>
      </c>
    </row>
    <row r="85" customFormat="false" ht="15" hidden="false" customHeight="false" outlineLevel="0" collapsed="false">
      <c r="A85" s="2" t="s">
        <v>200</v>
      </c>
      <c r="B85" s="3" t="n">
        <v>46302.2962847222</v>
      </c>
      <c r="C85" s="2" t="s">
        <v>203</v>
      </c>
      <c r="D85" s="2" t="s">
        <v>204</v>
      </c>
      <c r="E85" s="2" t="s">
        <v>155</v>
      </c>
      <c r="F85" s="2"/>
      <c r="G85" s="2" t="n">
        <v>0.83</v>
      </c>
      <c r="H85" s="4" t="n">
        <v>31301</v>
      </c>
      <c r="I85" s="4" t="n">
        <v>7488</v>
      </c>
      <c r="J85" s="4" t="n">
        <v>6640</v>
      </c>
      <c r="K85" s="2" t="n">
        <v>257</v>
      </c>
      <c r="L85" s="2" t="n">
        <v>7</v>
      </c>
      <c r="M85" s="2" t="n">
        <v>32</v>
      </c>
      <c r="N85" s="5" t="n">
        <f aca="false">IFERROR(I85/H85,"")</f>
        <v>0.239225583847161</v>
      </c>
      <c r="O85" s="6" t="n">
        <f aca="false">IFERROR(J85/I85,"")</f>
        <v>0.886752136752137</v>
      </c>
      <c r="P85" s="7" t="n">
        <f aca="false">IFERROR(1000*J85/H85,"")</f>
        <v>212.133797642248</v>
      </c>
      <c r="Q85" s="2" t="n">
        <v>1.74</v>
      </c>
      <c r="R85" s="2"/>
      <c r="S85" s="2" t="s">
        <v>26</v>
      </c>
      <c r="T85" s="2" t="n">
        <v>9463</v>
      </c>
      <c r="U85" s="6" t="n">
        <v>0.42</v>
      </c>
      <c r="V85" s="2" t="n">
        <v>7.9</v>
      </c>
    </row>
    <row r="86" customFormat="false" ht="15" hidden="false" customHeight="false" outlineLevel="0" collapsed="false">
      <c r="A86" s="2" t="s">
        <v>200</v>
      </c>
      <c r="B86" s="3" t="n">
        <v>46301.8055787037</v>
      </c>
      <c r="C86" s="2" t="s">
        <v>205</v>
      </c>
      <c r="D86" s="2" t="s">
        <v>206</v>
      </c>
      <c r="E86" s="2" t="s">
        <v>155</v>
      </c>
      <c r="F86" s="2"/>
      <c r="G86" s="2" t="n">
        <v>1.32</v>
      </c>
      <c r="H86" s="4" t="n">
        <v>18486</v>
      </c>
      <c r="I86" s="4" t="n">
        <v>7666</v>
      </c>
      <c r="J86" s="4" t="n">
        <v>6791</v>
      </c>
      <c r="K86" s="2" t="n">
        <v>270</v>
      </c>
      <c r="L86" s="2" t="n">
        <v>4</v>
      </c>
      <c r="M86" s="2" t="n">
        <v>21</v>
      </c>
      <c r="N86" s="5" t="n">
        <f aca="false">IFERROR(I86/H86,"")</f>
        <v>0.414692199502326</v>
      </c>
      <c r="O86" s="6" t="n">
        <f aca="false">IFERROR(J86/I86,"")</f>
        <v>0.885859639968693</v>
      </c>
      <c r="P86" s="7" t="n">
        <f aca="false">IFERROR(1000*J86/H86,"")</f>
        <v>367.359082548956</v>
      </c>
      <c r="Q86" s="2" t="n">
        <v>0.72</v>
      </c>
      <c r="R86" s="2"/>
      <c r="S86" s="2" t="s">
        <v>26</v>
      </c>
      <c r="T86" s="2" t="n">
        <v>9689</v>
      </c>
      <c r="U86" s="6" t="n">
        <v>0.36</v>
      </c>
      <c r="V86" s="2" t="n">
        <v>7.9</v>
      </c>
    </row>
    <row r="87" customFormat="false" ht="15" hidden="false" customHeight="false" outlineLevel="0" collapsed="false">
      <c r="A87" s="2" t="s">
        <v>200</v>
      </c>
      <c r="B87" s="3" t="n">
        <v>46301.3551388889</v>
      </c>
      <c r="C87" s="2" t="s">
        <v>207</v>
      </c>
      <c r="D87" s="2" t="s">
        <v>208</v>
      </c>
      <c r="E87" s="2" t="s">
        <v>155</v>
      </c>
      <c r="F87" s="2" t="s">
        <v>177</v>
      </c>
      <c r="G87" s="2" t="n">
        <v>1.77</v>
      </c>
      <c r="H87" s="4" t="n">
        <v>25598</v>
      </c>
      <c r="I87" s="4" t="n">
        <v>8586</v>
      </c>
      <c r="J87" s="4" t="n">
        <v>7491</v>
      </c>
      <c r="K87" s="2" t="n">
        <v>304</v>
      </c>
      <c r="L87" s="2" t="n">
        <v>1</v>
      </c>
      <c r="M87" s="2" t="n">
        <v>13</v>
      </c>
      <c r="N87" s="5" t="n">
        <f aca="false">IFERROR(I87/H87,"")</f>
        <v>0.3354168294398</v>
      </c>
      <c r="O87" s="6" t="n">
        <f aca="false">IFERROR(J87/I87,"")</f>
        <v>0.872466806429071</v>
      </c>
      <c r="P87" s="7" t="n">
        <f aca="false">IFERROR(1000*J87/H87,"")</f>
        <v>292.640050003907</v>
      </c>
      <c r="Q87" s="2" t="n">
        <v>1</v>
      </c>
      <c r="R87" s="2" t="n">
        <v>2.17</v>
      </c>
      <c r="S87" s="2" t="s">
        <v>209</v>
      </c>
      <c r="T87" s="2" t="n">
        <v>8528</v>
      </c>
      <c r="U87" s="6" t="n">
        <v>0.38</v>
      </c>
      <c r="V87" s="2" t="n">
        <v>7.7</v>
      </c>
    </row>
    <row r="88" customFormat="false" ht="15" hidden="false" customHeight="false" outlineLevel="0" collapsed="false">
      <c r="A88" s="2" t="s">
        <v>200</v>
      </c>
      <c r="B88" s="3" t="n">
        <v>46301.2942592593</v>
      </c>
      <c r="C88" s="2" t="s">
        <v>210</v>
      </c>
      <c r="D88" s="2" t="s">
        <v>211</v>
      </c>
      <c r="E88" s="2" t="s">
        <v>155</v>
      </c>
      <c r="F88" s="2"/>
      <c r="G88" s="2" t="n">
        <v>1.83</v>
      </c>
      <c r="H88" s="4" t="n">
        <v>32496</v>
      </c>
      <c r="I88" s="4" t="n">
        <v>9005</v>
      </c>
      <c r="J88" s="4" t="n">
        <v>7847</v>
      </c>
      <c r="K88" s="2" t="n">
        <v>285</v>
      </c>
      <c r="L88" s="2" t="n">
        <v>3</v>
      </c>
      <c r="M88" s="2" t="n">
        <v>13</v>
      </c>
      <c r="N88" s="5" t="n">
        <f aca="false">IFERROR(I88/H88,"")</f>
        <v>0.277111029049729</v>
      </c>
      <c r="O88" s="6" t="n">
        <f aca="false">IFERROR(J88/I88,"")</f>
        <v>0.871404775124931</v>
      </c>
      <c r="P88" s="7" t="n">
        <f aca="false">IFERROR(1000*J88/H88,"")</f>
        <v>241.475873953717</v>
      </c>
      <c r="Q88" s="2" t="n">
        <v>1.27</v>
      </c>
      <c r="R88" s="2" t="n">
        <v>1.79</v>
      </c>
      <c r="S88" s="2" t="s">
        <v>34</v>
      </c>
      <c r="T88" s="2" t="n">
        <v>8579</v>
      </c>
      <c r="U88" s="6" t="n">
        <v>0.47</v>
      </c>
      <c r="V88" s="2" t="n">
        <v>7.7</v>
      </c>
    </row>
    <row r="89" customFormat="false" ht="15" hidden="false" customHeight="false" outlineLevel="0" collapsed="false">
      <c r="A89" s="2" t="s">
        <v>200</v>
      </c>
      <c r="B89" s="3" t="n">
        <v>46300.4988425926</v>
      </c>
      <c r="C89" s="2" t="s">
        <v>212</v>
      </c>
      <c r="D89" s="2" t="s">
        <v>213</v>
      </c>
      <c r="E89" s="2" t="s">
        <v>155</v>
      </c>
      <c r="F89" s="2"/>
      <c r="G89" s="2" t="n">
        <v>2.63</v>
      </c>
      <c r="H89" s="4" t="n">
        <v>23720</v>
      </c>
      <c r="I89" s="4" t="n">
        <v>5490</v>
      </c>
      <c r="J89" s="4" t="n">
        <v>4849</v>
      </c>
      <c r="K89" s="2" t="n">
        <v>241</v>
      </c>
      <c r="L89" s="2" t="n">
        <v>6</v>
      </c>
      <c r="M89" s="2" t="n">
        <v>7</v>
      </c>
      <c r="N89" s="5" t="n">
        <f aca="false">IFERROR(I89/H89,"")</f>
        <v>0.231450252951096</v>
      </c>
      <c r="O89" s="6" t="n">
        <f aca="false">IFERROR(J89/I89,"")</f>
        <v>0.883242258652095</v>
      </c>
      <c r="P89" s="7" t="n">
        <f aca="false">IFERROR(1000*J89/H89,"")</f>
        <v>204.426644182125</v>
      </c>
      <c r="Q89" s="2" t="n">
        <v>0.58</v>
      </c>
      <c r="R89" s="2" t="n">
        <v>1.51</v>
      </c>
      <c r="S89" s="2" t="s">
        <v>31</v>
      </c>
      <c r="T89" s="2" t="n">
        <v>10141</v>
      </c>
      <c r="U89" s="6" t="n">
        <v>0.39</v>
      </c>
      <c r="V89" s="2" t="n">
        <v>7.9</v>
      </c>
    </row>
    <row r="90" customFormat="false" ht="15" hidden="false" customHeight="false" outlineLevel="0" collapsed="false">
      <c r="A90" s="2" t="s">
        <v>200</v>
      </c>
      <c r="B90" s="3" t="n">
        <v>46300.4084375</v>
      </c>
      <c r="C90" s="2" t="s">
        <v>214</v>
      </c>
      <c r="D90" s="2" t="s">
        <v>215</v>
      </c>
      <c r="E90" s="2" t="s">
        <v>155</v>
      </c>
      <c r="F90" s="2"/>
      <c r="G90" s="2" t="n">
        <v>2.72</v>
      </c>
      <c r="H90" s="4" t="n">
        <v>58436</v>
      </c>
      <c r="I90" s="4" t="n">
        <v>13970</v>
      </c>
      <c r="J90" s="4" t="n">
        <v>12576</v>
      </c>
      <c r="K90" s="2" t="n">
        <v>640</v>
      </c>
      <c r="L90" s="2" t="n">
        <v>6</v>
      </c>
      <c r="M90" s="2" t="n">
        <v>32</v>
      </c>
      <c r="N90" s="5" t="n">
        <f aca="false">IFERROR(I90/H90,"")</f>
        <v>0.239064959956191</v>
      </c>
      <c r="O90" s="6" t="n">
        <f aca="false">IFERROR(J90/I90,"")</f>
        <v>0.900214745884037</v>
      </c>
      <c r="P90" s="7" t="n">
        <f aca="false">IFERROR(1000*J90/H90,"")</f>
        <v>215.20980217674</v>
      </c>
      <c r="Q90" s="2" t="n">
        <v>1.42</v>
      </c>
      <c r="R90" s="2" t="n">
        <v>1.59</v>
      </c>
      <c r="S90" s="2" t="s">
        <v>31</v>
      </c>
      <c r="T90" s="2" t="n">
        <v>10860</v>
      </c>
      <c r="U90" s="6" t="n">
        <v>0.4</v>
      </c>
      <c r="V90" s="2" t="n">
        <v>7.8</v>
      </c>
    </row>
    <row r="91" customFormat="false" ht="15" hidden="false" customHeight="false" outlineLevel="0" collapsed="false">
      <c r="A91" s="2" t="s">
        <v>200</v>
      </c>
      <c r="B91" s="3" t="n">
        <v>46299.79625</v>
      </c>
      <c r="C91" s="2" t="s">
        <v>216</v>
      </c>
      <c r="D91" s="2" t="s">
        <v>217</v>
      </c>
      <c r="E91" s="2" t="s">
        <v>155</v>
      </c>
      <c r="F91" s="2"/>
      <c r="G91" s="2" t="n">
        <v>3.33</v>
      </c>
      <c r="H91" s="4" t="n">
        <v>26389</v>
      </c>
      <c r="I91" s="4" t="n">
        <v>2696</v>
      </c>
      <c r="J91" s="4" t="n">
        <v>2359</v>
      </c>
      <c r="K91" s="2" t="n">
        <v>56</v>
      </c>
      <c r="L91" s="2" t="n">
        <v>5</v>
      </c>
      <c r="M91" s="2" t="n">
        <v>8</v>
      </c>
      <c r="N91" s="5" t="n">
        <f aca="false">IFERROR(I91/H91,"")</f>
        <v>0.10216378036303</v>
      </c>
      <c r="O91" s="6" t="n">
        <f aca="false">IFERROR(J91/I91,"")</f>
        <v>0.875</v>
      </c>
      <c r="P91" s="7" t="n">
        <f aca="false">IFERROR(1000*J91/H91,"")</f>
        <v>89.3933078176513</v>
      </c>
      <c r="Q91" s="2" t="n">
        <v>0.89</v>
      </c>
      <c r="R91" s="2" t="n">
        <v>0.66</v>
      </c>
      <c r="S91" s="2" t="s">
        <v>31</v>
      </c>
      <c r="T91" s="2" t="n">
        <v>9667</v>
      </c>
      <c r="U91" s="6" t="n">
        <v>0.34</v>
      </c>
      <c r="V91" s="2" t="n">
        <v>8.2</v>
      </c>
    </row>
    <row r="92" customFormat="false" ht="15" hidden="false" customHeight="false" outlineLevel="0" collapsed="false">
      <c r="A92" s="2" t="s">
        <v>200</v>
      </c>
      <c r="B92" s="3" t="n">
        <v>46299.6046875</v>
      </c>
      <c r="C92" s="2" t="s">
        <v>218</v>
      </c>
      <c r="D92" s="2" t="s">
        <v>219</v>
      </c>
      <c r="E92" s="2" t="s">
        <v>155</v>
      </c>
      <c r="F92" s="2"/>
      <c r="G92" s="2" t="n">
        <v>3.52</v>
      </c>
      <c r="H92" s="4" t="n">
        <v>32973</v>
      </c>
      <c r="I92" s="4" t="n">
        <v>5851</v>
      </c>
      <c r="J92" s="4" t="n">
        <v>5021</v>
      </c>
      <c r="K92" s="2" t="n">
        <v>109</v>
      </c>
      <c r="L92" s="2" t="n">
        <v>0</v>
      </c>
      <c r="M92" s="2" t="n">
        <v>8</v>
      </c>
      <c r="N92" s="5" t="n">
        <f aca="false">IFERROR(I92/H92,"")</f>
        <v>0.177448215206381</v>
      </c>
      <c r="O92" s="6" t="n">
        <f aca="false">IFERROR(J92/I92,"")</f>
        <v>0.85814390702444</v>
      </c>
      <c r="P92" s="7" t="n">
        <f aca="false">IFERROR(1000*J92/H92,"")</f>
        <v>152.276104691717</v>
      </c>
      <c r="Q92" s="2" t="n">
        <v>1.11</v>
      </c>
      <c r="R92" s="2" t="n">
        <v>1.13</v>
      </c>
      <c r="S92" s="2" t="s">
        <v>31</v>
      </c>
      <c r="T92" s="2" t="n">
        <v>10250</v>
      </c>
      <c r="U92" s="6" t="n">
        <v>0.43</v>
      </c>
      <c r="V92" s="2" t="n">
        <v>8.5</v>
      </c>
    </row>
    <row r="93" customFormat="false" ht="15" hidden="false" customHeight="false" outlineLevel="0" collapsed="false">
      <c r="A93" s="2" t="s">
        <v>200</v>
      </c>
      <c r="B93" s="3" t="n">
        <v>46298.8451041667</v>
      </c>
      <c r="C93" s="2" t="s">
        <v>220</v>
      </c>
      <c r="D93" s="2" t="s">
        <v>221</v>
      </c>
      <c r="E93" s="2" t="s">
        <v>155</v>
      </c>
      <c r="F93" s="2"/>
      <c r="G93" s="2" t="n">
        <v>4.28</v>
      </c>
      <c r="H93" s="4" t="n">
        <v>29296</v>
      </c>
      <c r="I93" s="4" t="n">
        <v>3717</v>
      </c>
      <c r="J93" s="4" t="n">
        <v>2964</v>
      </c>
      <c r="K93" s="2" t="n">
        <v>76</v>
      </c>
      <c r="L93" s="2" t="n">
        <v>2</v>
      </c>
      <c r="M93" s="2" t="n">
        <v>8</v>
      </c>
      <c r="N93" s="5" t="n">
        <f aca="false">IFERROR(I93/H93,"")</f>
        <v>0.126877389404697</v>
      </c>
      <c r="O93" s="6" t="n">
        <f aca="false">IFERROR(J93/I93,"")</f>
        <v>0.797417271993543</v>
      </c>
      <c r="P93" s="7" t="n">
        <f aca="false">IFERROR(1000*J93/H93,"")</f>
        <v>101.174221736756</v>
      </c>
      <c r="Q93" s="2" t="n">
        <v>1.26</v>
      </c>
      <c r="R93" s="2" t="n">
        <v>0.75</v>
      </c>
      <c r="S93" s="2" t="s">
        <v>31</v>
      </c>
      <c r="T93" s="2" t="n">
        <v>9911</v>
      </c>
      <c r="U93" s="6" t="n">
        <v>0.41</v>
      </c>
      <c r="V93" s="2" t="n">
        <v>8.2</v>
      </c>
    </row>
    <row r="94" customFormat="false" ht="15" hidden="false" customHeight="false" outlineLevel="0" collapsed="false">
      <c r="A94" s="2" t="s">
        <v>200</v>
      </c>
      <c r="B94" s="3" t="n">
        <v>46298.7551273148</v>
      </c>
      <c r="C94" s="2" t="s">
        <v>222</v>
      </c>
      <c r="D94" s="2" t="s">
        <v>223</v>
      </c>
      <c r="E94" s="2" t="s">
        <v>155</v>
      </c>
      <c r="F94" s="2"/>
      <c r="G94" s="2" t="n">
        <v>4.37</v>
      </c>
      <c r="H94" s="4" t="n">
        <v>17268</v>
      </c>
      <c r="I94" s="4" t="n">
        <v>3539</v>
      </c>
      <c r="J94" s="4" t="n">
        <v>3154</v>
      </c>
      <c r="K94" s="2" t="n">
        <v>190</v>
      </c>
      <c r="L94" s="2" t="n">
        <v>2</v>
      </c>
      <c r="M94" s="2" t="n">
        <v>10</v>
      </c>
      <c r="N94" s="5" t="n">
        <f aca="false">IFERROR(I94/H94,"")</f>
        <v>0.204945564049108</v>
      </c>
      <c r="O94" s="6" t="n">
        <f aca="false">IFERROR(J94/I94,"")</f>
        <v>0.89121220683809</v>
      </c>
      <c r="P94" s="7" t="n">
        <f aca="false">IFERROR(1000*J94/H94,"")</f>
        <v>182.649988417883</v>
      </c>
      <c r="Q94" s="2" t="n">
        <v>0.74</v>
      </c>
      <c r="R94" s="2" t="n">
        <v>1.35</v>
      </c>
      <c r="S94" s="2" t="s">
        <v>31</v>
      </c>
      <c r="T94" s="2" t="n">
        <v>10101</v>
      </c>
      <c r="U94" s="6" t="n">
        <v>0.45</v>
      </c>
      <c r="V94" s="2" t="n">
        <v>7.9</v>
      </c>
    </row>
    <row r="95" customFormat="false" ht="15" hidden="false" customHeight="false" outlineLevel="0" collapsed="false">
      <c r="A95" s="2" t="s">
        <v>200</v>
      </c>
      <c r="B95" s="3" t="n">
        <v>46297.501712963</v>
      </c>
      <c r="C95" s="2" t="s">
        <v>224</v>
      </c>
      <c r="D95" s="2" t="s">
        <v>225</v>
      </c>
      <c r="E95" s="2" t="s">
        <v>155</v>
      </c>
      <c r="F95" s="2" t="s">
        <v>177</v>
      </c>
      <c r="G95" s="2" t="n">
        <v>5.62</v>
      </c>
      <c r="H95" s="4" t="n">
        <v>24263</v>
      </c>
      <c r="I95" s="4" t="n">
        <v>12504</v>
      </c>
      <c r="J95" s="4" t="n">
        <v>11083</v>
      </c>
      <c r="K95" s="2" t="n">
        <v>420</v>
      </c>
      <c r="L95" s="2" t="n">
        <v>8</v>
      </c>
      <c r="M95" s="2" t="n">
        <v>24</v>
      </c>
      <c r="N95" s="5" t="n">
        <f aca="false">IFERROR(I95/H95,"")</f>
        <v>0.515352594485431</v>
      </c>
      <c r="O95" s="6" t="n">
        <f aca="false">IFERROR(J95/I95,"")</f>
        <v>0.886356365962892</v>
      </c>
      <c r="P95" s="7" t="n">
        <f aca="false">IFERROR(1000*J95/H95,"")</f>
        <v>456.786052837654</v>
      </c>
      <c r="Q95" s="2" t="n">
        <v>1.06</v>
      </c>
      <c r="R95" s="2" t="n">
        <v>3.38</v>
      </c>
      <c r="S95" s="2" t="s">
        <v>209</v>
      </c>
      <c r="T95" s="2" t="n">
        <v>8731</v>
      </c>
      <c r="U95" s="6" t="n">
        <v>0.39</v>
      </c>
      <c r="V95" s="2" t="n">
        <v>7.7</v>
      </c>
    </row>
    <row r="96" customFormat="false" ht="15" hidden="false" customHeight="false" outlineLevel="0" collapsed="false">
      <c r="A96" s="2" t="s">
        <v>200</v>
      </c>
      <c r="B96" s="3" t="n">
        <v>46297.4180324074</v>
      </c>
      <c r="C96" s="2" t="s">
        <v>226</v>
      </c>
      <c r="D96" s="2" t="s">
        <v>227</v>
      </c>
      <c r="E96" s="2" t="s">
        <v>155</v>
      </c>
      <c r="F96" s="2"/>
      <c r="G96" s="2" t="n">
        <v>5.71</v>
      </c>
      <c r="H96" s="4" t="n">
        <v>38770</v>
      </c>
      <c r="I96" s="4" t="n">
        <v>14088</v>
      </c>
      <c r="J96" s="4" t="n">
        <v>12298</v>
      </c>
      <c r="K96" s="2" t="n">
        <v>294</v>
      </c>
      <c r="L96" s="2" t="n">
        <v>0</v>
      </c>
      <c r="M96" s="2" t="n">
        <v>42</v>
      </c>
      <c r="N96" s="5" t="n">
        <f aca="false">IFERROR(I96/H96,"")</f>
        <v>0.363373742584473</v>
      </c>
      <c r="O96" s="6" t="n">
        <f aca="false">IFERROR(J96/I96,"")</f>
        <v>0.872941510505395</v>
      </c>
      <c r="P96" s="7" t="n">
        <f aca="false">IFERROR(1000*J96/H96,"")</f>
        <v>317.204023729688</v>
      </c>
      <c r="Q96" s="2" t="n">
        <v>1.69</v>
      </c>
      <c r="R96" s="2" t="n">
        <v>2.35</v>
      </c>
      <c r="S96" s="2" t="s">
        <v>34</v>
      </c>
      <c r="T96" s="2" t="n">
        <v>8754</v>
      </c>
      <c r="U96" s="6" t="n">
        <v>0.37</v>
      </c>
      <c r="V96" s="2" t="n">
        <v>7.8</v>
      </c>
    </row>
    <row r="97" customFormat="false" ht="15" hidden="false" customHeight="false" outlineLevel="0" collapsed="false">
      <c r="A97" s="2" t="s">
        <v>200</v>
      </c>
      <c r="B97" s="3" t="n">
        <v>46297.3354282407</v>
      </c>
      <c r="C97" s="2" t="s">
        <v>228</v>
      </c>
      <c r="D97" s="2" t="s">
        <v>229</v>
      </c>
      <c r="E97" s="2" t="s">
        <v>155</v>
      </c>
      <c r="F97" s="2"/>
      <c r="G97" s="2" t="n">
        <v>5.79</v>
      </c>
      <c r="H97" s="4" t="n">
        <v>21578</v>
      </c>
      <c r="I97" s="4" t="n">
        <v>3404</v>
      </c>
      <c r="J97" s="4" t="n">
        <v>2916</v>
      </c>
      <c r="K97" s="2" t="n">
        <v>176</v>
      </c>
      <c r="L97" s="2" t="n">
        <v>2</v>
      </c>
      <c r="M97" s="2" t="n">
        <v>3</v>
      </c>
      <c r="N97" s="5" t="n">
        <f aca="false">IFERROR(I97/H97,"")</f>
        <v>0.15775326721661</v>
      </c>
      <c r="O97" s="6" t="n">
        <f aca="false">IFERROR(J97/I97,"")</f>
        <v>0.856639247943596</v>
      </c>
      <c r="P97" s="7" t="n">
        <f aca="false">IFERROR(1000*J97/H97,"")</f>
        <v>135.137640189081</v>
      </c>
      <c r="Q97" s="2" t="n">
        <v>0.94</v>
      </c>
      <c r="R97" s="2" t="n">
        <v>1</v>
      </c>
      <c r="S97" s="2" t="s">
        <v>31</v>
      </c>
      <c r="T97" s="2" t="n">
        <v>9115</v>
      </c>
      <c r="U97" s="6" t="n">
        <v>0.4</v>
      </c>
      <c r="V97" s="2" t="n">
        <v>7.6</v>
      </c>
    </row>
    <row r="98" customFormat="false" ht="15" hidden="false" customHeight="false" outlineLevel="0" collapsed="false">
      <c r="A98" s="2" t="s">
        <v>200</v>
      </c>
      <c r="B98" s="3" t="n">
        <v>46297.2513773148</v>
      </c>
      <c r="C98" s="2" t="s">
        <v>230</v>
      </c>
      <c r="D98" s="2" t="s">
        <v>231</v>
      </c>
      <c r="E98" s="2" t="s">
        <v>155</v>
      </c>
      <c r="F98" s="2"/>
      <c r="G98" s="2" t="n">
        <v>5.87</v>
      </c>
      <c r="H98" s="4" t="n">
        <v>20147</v>
      </c>
      <c r="I98" s="4" t="n">
        <v>3355</v>
      </c>
      <c r="J98" s="4" t="n">
        <v>2935</v>
      </c>
      <c r="K98" s="2" t="n">
        <v>216</v>
      </c>
      <c r="L98" s="2" t="n">
        <v>1</v>
      </c>
      <c r="M98" s="2" t="n">
        <v>5</v>
      </c>
      <c r="N98" s="5" t="n">
        <f aca="false">IFERROR(I98/H98,"")</f>
        <v>0.166526033652653</v>
      </c>
      <c r="O98" s="6" t="n">
        <f aca="false">IFERROR(J98/I98,"")</f>
        <v>0.874813710879285</v>
      </c>
      <c r="P98" s="7" t="n">
        <f aca="false">IFERROR(1000*J98/H98,"")</f>
        <v>145.679257457686</v>
      </c>
      <c r="Q98" s="2" t="n">
        <v>0.88</v>
      </c>
      <c r="R98" s="2" t="n">
        <v>1.08</v>
      </c>
      <c r="S98" s="2" t="s">
        <v>31</v>
      </c>
      <c r="T98" s="2" t="n">
        <v>9094</v>
      </c>
      <c r="U98" s="6" t="n">
        <v>0.35</v>
      </c>
      <c r="V98" s="2" t="n">
        <v>7.8</v>
      </c>
    </row>
    <row r="99" customFormat="false" ht="15" hidden="false" customHeight="false" outlineLevel="0" collapsed="false">
      <c r="A99" s="2" t="s">
        <v>200</v>
      </c>
      <c r="B99" s="3" t="n">
        <v>46296.3412384259</v>
      </c>
      <c r="C99" s="2" t="s">
        <v>232</v>
      </c>
      <c r="D99" s="2" t="s">
        <v>233</v>
      </c>
      <c r="E99" s="2" t="s">
        <v>155</v>
      </c>
      <c r="F99" s="2"/>
      <c r="G99" s="2" t="n">
        <v>6.78</v>
      </c>
      <c r="H99" s="4" t="n">
        <v>13208</v>
      </c>
      <c r="I99" s="4" t="n">
        <v>610</v>
      </c>
      <c r="J99" s="4" t="n">
        <v>500</v>
      </c>
      <c r="K99" s="2" t="n">
        <v>46</v>
      </c>
      <c r="L99" s="2" t="n">
        <v>0</v>
      </c>
      <c r="M99" s="2" t="n">
        <v>3</v>
      </c>
      <c r="N99" s="5" t="n">
        <f aca="false">IFERROR(I99/H99,"")</f>
        <v>0.0461841308298001</v>
      </c>
      <c r="O99" s="6" t="n">
        <f aca="false">IFERROR(J99/I99,"")</f>
        <v>0.819672131147541</v>
      </c>
      <c r="P99" s="7" t="n">
        <f aca="false">IFERROR(1000*J99/H99,"")</f>
        <v>37.8558449424591</v>
      </c>
      <c r="Q99" s="2" t="n">
        <v>0.99</v>
      </c>
      <c r="R99" s="2" t="n">
        <v>0.28</v>
      </c>
      <c r="S99" s="2" t="s">
        <v>51</v>
      </c>
      <c r="T99" s="2" t="n">
        <v>9186</v>
      </c>
      <c r="U99" s="6" t="n">
        <v>0.31</v>
      </c>
      <c r="V99" s="2" t="n">
        <v>7.9</v>
      </c>
    </row>
    <row r="100" customFormat="false" ht="15" hidden="false" customHeight="false" outlineLevel="0" collapsed="false">
      <c r="A100" s="2" t="s">
        <v>200</v>
      </c>
      <c r="B100" s="3" t="n">
        <v>46296.2536111111</v>
      </c>
      <c r="C100" s="2" t="s">
        <v>234</v>
      </c>
      <c r="D100" s="2" t="s">
        <v>235</v>
      </c>
      <c r="E100" s="2" t="s">
        <v>155</v>
      </c>
      <c r="F100" s="2"/>
      <c r="G100" s="2" t="n">
        <v>6.87</v>
      </c>
      <c r="H100" s="4" t="n">
        <v>25367</v>
      </c>
      <c r="I100" s="4" t="n">
        <v>5034</v>
      </c>
      <c r="J100" s="4" t="n">
        <v>4203</v>
      </c>
      <c r="K100" s="2" t="n">
        <v>151</v>
      </c>
      <c r="L100" s="2" t="n">
        <v>2</v>
      </c>
      <c r="M100" s="2" t="n">
        <v>26</v>
      </c>
      <c r="N100" s="5" t="n">
        <f aca="false">IFERROR(I100/H100,"")</f>
        <v>0.19844680096188</v>
      </c>
      <c r="O100" s="6" t="n">
        <f aca="false">IFERROR(J100/I100,"")</f>
        <v>0.83492252681764</v>
      </c>
      <c r="P100" s="7" t="n">
        <f aca="false">IFERROR(1000*J100/H100,"")</f>
        <v>165.68770449797</v>
      </c>
      <c r="Q100" s="2" t="n">
        <v>1.9</v>
      </c>
      <c r="R100" s="2" t="n">
        <v>1.23</v>
      </c>
      <c r="S100" s="2" t="s">
        <v>31</v>
      </c>
      <c r="T100" s="2" t="n">
        <v>9239</v>
      </c>
      <c r="U100" s="6" t="n">
        <v>0.34</v>
      </c>
      <c r="V100" s="2" t="n">
        <v>7.8</v>
      </c>
    </row>
    <row r="101" customFormat="false" ht="15" hidden="false" customHeight="false" outlineLevel="0" collapsed="false">
      <c r="A101" s="2" t="s">
        <v>200</v>
      </c>
      <c r="B101" s="3" t="n">
        <v>46296.1258449074</v>
      </c>
      <c r="C101" s="2" t="s">
        <v>236</v>
      </c>
      <c r="D101" s="2" t="s">
        <v>237</v>
      </c>
      <c r="E101" s="2" t="s">
        <v>155</v>
      </c>
      <c r="F101" s="2"/>
      <c r="G101" s="2" t="n">
        <v>7</v>
      </c>
      <c r="H101" s="4" t="n">
        <v>13381</v>
      </c>
      <c r="I101" s="4" t="n">
        <v>901</v>
      </c>
      <c r="J101" s="4" t="n">
        <v>688</v>
      </c>
      <c r="K101" s="2" t="n">
        <v>52</v>
      </c>
      <c r="L101" s="2" t="n">
        <v>4</v>
      </c>
      <c r="M101" s="2" t="n">
        <v>7</v>
      </c>
      <c r="N101" s="5" t="n">
        <f aca="false">IFERROR(I101/H101,"")</f>
        <v>0.0673342799491817</v>
      </c>
      <c r="O101" s="6" t="n">
        <f aca="false">IFERROR(J101/I101,"")</f>
        <v>0.763596004439512</v>
      </c>
      <c r="P101" s="7" t="n">
        <f aca="false">IFERROR(1000*J101/H101,"")</f>
        <v>51.4161871310067</v>
      </c>
      <c r="Q101" s="2" t="n">
        <v>1</v>
      </c>
      <c r="R101" s="2" t="n">
        <v>0.38</v>
      </c>
      <c r="S101" s="2" t="s">
        <v>51</v>
      </c>
      <c r="T101" s="2" t="n">
        <v>9877</v>
      </c>
      <c r="U101" s="6" t="n">
        <v>0.31</v>
      </c>
      <c r="V101" s="2" t="n">
        <v>8.2</v>
      </c>
    </row>
    <row r="102" customFormat="false" ht="15" hidden="false" customHeight="false" outlineLevel="0" collapsed="false">
      <c r="A102" s="2" t="s">
        <v>200</v>
      </c>
      <c r="B102" s="3" t="n">
        <v>46295.6677662037</v>
      </c>
      <c r="C102" s="2" t="s">
        <v>238</v>
      </c>
      <c r="D102" s="2" t="s">
        <v>239</v>
      </c>
      <c r="E102" s="2" t="s">
        <v>155</v>
      </c>
      <c r="F102" s="2"/>
      <c r="G102" s="2" t="n">
        <v>7.46</v>
      </c>
      <c r="H102" s="4" t="n">
        <v>18999</v>
      </c>
      <c r="I102" s="4" t="n">
        <v>962</v>
      </c>
      <c r="J102" s="4" t="n">
        <v>770</v>
      </c>
      <c r="K102" s="2" t="n">
        <v>72</v>
      </c>
      <c r="L102" s="2" t="n">
        <v>0</v>
      </c>
      <c r="M102" s="2" t="n">
        <v>3</v>
      </c>
      <c r="N102" s="5" t="n">
        <f aca="false">IFERROR(I102/H102,"")</f>
        <v>0.0506342439075741</v>
      </c>
      <c r="O102" s="6" t="n">
        <f aca="false">IFERROR(J102/I102,"")</f>
        <v>0.8004158004158</v>
      </c>
      <c r="P102" s="7" t="n">
        <f aca="false">IFERROR(1000*J102/H102,"")</f>
        <v>40.5284488657298</v>
      </c>
      <c r="Q102" s="2" t="n">
        <v>1.02</v>
      </c>
      <c r="R102" s="2" t="n">
        <v>0.3</v>
      </c>
      <c r="S102" s="2" t="s">
        <v>51</v>
      </c>
      <c r="T102" s="2" t="n">
        <v>9212</v>
      </c>
      <c r="U102" s="6" t="n">
        <v>0.36</v>
      </c>
      <c r="V102" s="2" t="n">
        <v>7.9</v>
      </c>
    </row>
    <row r="103" customFormat="false" ht="15" hidden="false" customHeight="false" outlineLevel="0" collapsed="false">
      <c r="A103" s="2" t="s">
        <v>200</v>
      </c>
      <c r="B103" s="3" t="n">
        <v>46295.5811111111</v>
      </c>
      <c r="C103" s="2" t="s">
        <v>240</v>
      </c>
      <c r="D103" s="2" t="s">
        <v>241</v>
      </c>
      <c r="E103" s="2" t="s">
        <v>155</v>
      </c>
      <c r="F103" s="2"/>
      <c r="G103" s="2" t="n">
        <v>7.54</v>
      </c>
      <c r="H103" s="4" t="n">
        <v>18307</v>
      </c>
      <c r="I103" s="4" t="n">
        <v>1053</v>
      </c>
      <c r="J103" s="4" t="n">
        <v>858</v>
      </c>
      <c r="K103" s="2" t="n">
        <v>75</v>
      </c>
      <c r="L103" s="2" t="n">
        <v>1</v>
      </c>
      <c r="M103" s="2" t="n">
        <v>3</v>
      </c>
      <c r="N103" s="5" t="n">
        <f aca="false">IFERROR(I103/H103,"")</f>
        <v>0.0575189818102365</v>
      </c>
      <c r="O103" s="6" t="n">
        <f aca="false">IFERROR(J103/I103,"")</f>
        <v>0.814814814814815</v>
      </c>
      <c r="P103" s="7" t="n">
        <f aca="false">IFERROR(1000*J103/H103,"")</f>
        <v>46.8673185120446</v>
      </c>
      <c r="Q103" s="2" t="n">
        <v>0.98</v>
      </c>
      <c r="R103" s="2" t="n">
        <v>0.35</v>
      </c>
      <c r="S103" s="2" t="s">
        <v>51</v>
      </c>
      <c r="T103" s="2" t="n">
        <v>9058</v>
      </c>
      <c r="U103" s="6" t="n">
        <v>0.4</v>
      </c>
      <c r="V103" s="2" t="n">
        <v>7.9</v>
      </c>
    </row>
    <row r="104" customFormat="false" ht="15" hidden="false" customHeight="false" outlineLevel="0" collapsed="false">
      <c r="A104" s="2" t="s">
        <v>200</v>
      </c>
      <c r="B104" s="3" t="n">
        <v>46294.9005787037</v>
      </c>
      <c r="C104" s="2" t="s">
        <v>242</v>
      </c>
      <c r="D104" s="2" t="s">
        <v>243</v>
      </c>
      <c r="E104" s="2" t="s">
        <v>155</v>
      </c>
      <c r="F104" s="2"/>
      <c r="G104" s="2" t="n">
        <v>8.22</v>
      </c>
      <c r="H104" s="4" t="n">
        <v>19641</v>
      </c>
      <c r="I104" s="4" t="n">
        <v>1555</v>
      </c>
      <c r="J104" s="4" t="n">
        <v>1251</v>
      </c>
      <c r="K104" s="2" t="n">
        <v>63</v>
      </c>
      <c r="L104" s="2" t="n">
        <v>2</v>
      </c>
      <c r="M104" s="2" t="n">
        <v>8</v>
      </c>
      <c r="N104" s="5" t="n">
        <f aca="false">IFERROR(I104/H104,"")</f>
        <v>0.0791711216333181</v>
      </c>
      <c r="O104" s="6" t="n">
        <f aca="false">IFERROR(J104/I104,"")</f>
        <v>0.804501607717042</v>
      </c>
      <c r="P104" s="7" t="n">
        <f aca="false">IFERROR(1000*J104/H104,"")</f>
        <v>63.6932946387659</v>
      </c>
      <c r="Q104" s="2" t="n">
        <v>0.93</v>
      </c>
      <c r="R104" s="2" t="n">
        <v>0.47</v>
      </c>
      <c r="S104" s="2" t="s">
        <v>31</v>
      </c>
      <c r="T104" s="2" t="n">
        <v>9361</v>
      </c>
      <c r="U104" s="6" t="n">
        <v>0.42</v>
      </c>
      <c r="V104" s="2" t="n">
        <v>7.9</v>
      </c>
    </row>
    <row r="105" customFormat="false" ht="15" hidden="false" customHeight="false" outlineLevel="0" collapsed="false">
      <c r="A105" s="2" t="s">
        <v>200</v>
      </c>
      <c r="B105" s="3" t="n">
        <v>46294.8141550926</v>
      </c>
      <c r="C105" s="2" t="s">
        <v>244</v>
      </c>
      <c r="D105" s="2" t="s">
        <v>245</v>
      </c>
      <c r="E105" s="2" t="s">
        <v>155</v>
      </c>
      <c r="F105" s="2"/>
      <c r="G105" s="2" t="n">
        <v>8.31</v>
      </c>
      <c r="H105" s="4" t="n">
        <v>22503</v>
      </c>
      <c r="I105" s="4" t="n">
        <v>1861</v>
      </c>
      <c r="J105" s="4" t="n">
        <v>1543</v>
      </c>
      <c r="K105" s="2" t="n">
        <v>189</v>
      </c>
      <c r="L105" s="2" t="n">
        <v>2</v>
      </c>
      <c r="M105" s="2" t="n">
        <v>8</v>
      </c>
      <c r="N105" s="5" t="n">
        <f aca="false">IFERROR(I105/H105,"")</f>
        <v>0.0827000844331867</v>
      </c>
      <c r="O105" s="6" t="n">
        <f aca="false">IFERROR(J105/I105,"")</f>
        <v>0.829124126813541</v>
      </c>
      <c r="P105" s="7" t="n">
        <f aca="false">IFERROR(1000*J105/H105,"")</f>
        <v>68.568635293072</v>
      </c>
      <c r="Q105" s="2" t="n">
        <v>1.07</v>
      </c>
      <c r="R105" s="2" t="n">
        <v>0.51</v>
      </c>
      <c r="S105" s="2" t="s">
        <v>31</v>
      </c>
      <c r="T105" s="2" t="n">
        <v>10447</v>
      </c>
      <c r="U105" s="6" t="n">
        <v>0.48</v>
      </c>
      <c r="V105" s="2" t="n">
        <v>8</v>
      </c>
    </row>
    <row r="107" customFormat="false" ht="15" hidden="false" customHeight="false" outlineLevel="0" collapsed="false">
      <c r="A107" s="8" t="s">
        <v>246</v>
      </c>
    </row>
  </sheetData>
  <autoFilter ref="A1:V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2" min="10" style="0" width="13"/>
  </cols>
  <sheetData>
    <row r="1" customFormat="false" ht="52.2" hidden="false" customHeight="false" outlineLevel="0" collapsed="false">
      <c r="A1" s="1" t="s">
        <v>0</v>
      </c>
      <c r="B1" s="1" t="s">
        <v>247</v>
      </c>
      <c r="C1" s="1" t="s">
        <v>7</v>
      </c>
      <c r="D1" s="1" t="s">
        <v>8</v>
      </c>
      <c r="E1" s="1" t="s">
        <v>9</v>
      </c>
      <c r="F1" s="1" t="s">
        <v>12</v>
      </c>
      <c r="G1" s="1" t="s">
        <v>10</v>
      </c>
      <c r="H1" s="1" t="s">
        <v>13</v>
      </c>
      <c r="I1" s="1" t="s">
        <v>14</v>
      </c>
      <c r="J1" s="1" t="s">
        <v>15</v>
      </c>
      <c r="K1" s="1" t="s">
        <v>248</v>
      </c>
      <c r="L1" s="1" t="s">
        <v>249</v>
      </c>
    </row>
    <row r="2" customFormat="false" ht="15" hidden="false" customHeight="false" outlineLevel="0" collapsed="false">
      <c r="A2" s="2" t="s">
        <v>200</v>
      </c>
      <c r="B2" s="2" t="n">
        <f aca="false">COUNTIFS(Публикации!$A:$A,$A2,Публикации!$E:$E,"основной")</f>
        <v>22</v>
      </c>
      <c r="C2" s="4" t="n">
        <f aca="false">SUMIFS(Публикации!H:H,Публикации!$A:$A,$A2,Публикации!$E:$E,"основной")</f>
        <v>536798</v>
      </c>
      <c r="D2" s="4" t="n">
        <f aca="false">SUMIFS(Публикации!I:I,Публикации!$A:$A,$A2,Публикации!$E:$E,"основной")</f>
        <v>115153</v>
      </c>
      <c r="E2" s="4" t="n">
        <f aca="false">SUMIFS(Публикации!J:J,Публикации!$A:$A,$A2,Публикации!$E:$E,"основной")</f>
        <v>100272</v>
      </c>
      <c r="F2" s="2" t="n">
        <f aca="false">SUMIFS(Публикации!M:M,Публикации!$A:$A,$A2,Публикации!$E:$E,"основной")</f>
        <v>291</v>
      </c>
      <c r="G2" s="2" t="n">
        <f aca="false">SUMIFS(Публикации!K:K,Публикации!$A:$A,$A2,Публикации!$E:$E,"основной")</f>
        <v>4266</v>
      </c>
      <c r="H2" s="5" t="n">
        <f aca="false">IFERROR(D2/C2,"")</f>
        <v>0.214518310425896</v>
      </c>
      <c r="I2" s="6" t="n">
        <f aca="false">IFERROR(E2/D2,"")</f>
        <v>0.870771929519856</v>
      </c>
      <c r="J2" s="7" t="n">
        <f aca="false">IFERROR(1000*E2/C2,"")</f>
        <v>186.796523086897</v>
      </c>
      <c r="K2" s="7" t="n">
        <f aca="false">IFERROR(1000*F2/E2,"")</f>
        <v>2.90210627094304</v>
      </c>
      <c r="L2" s="7" t="n">
        <f aca="false">IFERROR(1000*G2/E2,"")</f>
        <v>42.5442795595979</v>
      </c>
    </row>
    <row r="3" customFormat="false" ht="15" hidden="false" customHeight="false" outlineLevel="0" collapsed="false">
      <c r="A3" s="2" t="s">
        <v>170</v>
      </c>
      <c r="B3" s="2" t="n">
        <f aca="false">COUNTIFS(Публикации!$A:$A,$A3,Публикации!$E:$E,"основной")</f>
        <v>14</v>
      </c>
      <c r="C3" s="4" t="n">
        <f aca="false">SUMIFS(Публикации!H:H,Публикации!$A:$A,$A3,Публикации!$E:$E,"основной")</f>
        <v>80933</v>
      </c>
      <c r="D3" s="4" t="n">
        <f aca="false">SUMIFS(Публикации!I:I,Публикации!$A:$A,$A3,Публикации!$E:$E,"основной")</f>
        <v>3707</v>
      </c>
      <c r="E3" s="4" t="n">
        <f aca="false">SUMIFS(Публикации!J:J,Публикации!$A:$A,$A3,Публикации!$E:$E,"основной")</f>
        <v>2709</v>
      </c>
      <c r="F3" s="2" t="n">
        <f aca="false">SUMIFS(Публикации!M:M,Публикации!$A:$A,$A3,Публикации!$E:$E,"основной")</f>
        <v>20</v>
      </c>
      <c r="G3" s="2" t="n">
        <f aca="false">SUMIFS(Публикации!K:K,Публикации!$A:$A,$A3,Публикации!$E:$E,"основной")</f>
        <v>91</v>
      </c>
      <c r="H3" s="5" t="n">
        <f aca="false">IFERROR(D3/C3,"")</f>
        <v>0.0458033187945585</v>
      </c>
      <c r="I3" s="6" t="n">
        <f aca="false">IFERROR(E3/D3,"")</f>
        <v>0.730779606150526</v>
      </c>
      <c r="J3" s="7" t="n">
        <f aca="false">IFERROR(1000*E3/C3,"")</f>
        <v>33.4721312690744</v>
      </c>
      <c r="K3" s="7" t="n">
        <f aca="false">IFERROR(1000*F3/E3,"")</f>
        <v>7.3827980804725</v>
      </c>
      <c r="L3" s="7" t="n">
        <f aca="false">IFERROR(1000*G3/E3,"")</f>
        <v>33.5917312661499</v>
      </c>
    </row>
    <row r="4" customFormat="false" ht="15" hidden="false" customHeight="false" outlineLevel="0" collapsed="false">
      <c r="A4" s="2" t="s">
        <v>22</v>
      </c>
      <c r="B4" s="2" t="n">
        <f aca="false">COUNTIFS(Публикации!$A:$A,$A4,Публикации!$E:$E,"новый формат")</f>
        <v>42</v>
      </c>
      <c r="C4" s="4" t="n">
        <f aca="false">SUMIFS(Публикации!H:H,Публикации!$A:$A,$A4,Публикации!$E:$E,"новый формат")</f>
        <v>691182</v>
      </c>
      <c r="D4" s="4" t="n">
        <f aca="false">SUMIFS(Публикации!I:I,Публикации!$A:$A,$A4,Публикации!$E:$E,"новый формат")</f>
        <v>14638</v>
      </c>
      <c r="E4" s="4" t="n">
        <f aca="false">SUMIFS(Публикации!J:J,Публикации!$A:$A,$A4,Публикации!$E:$E,"новый формат")</f>
        <v>9665</v>
      </c>
      <c r="F4" s="2" t="n">
        <f aca="false">SUMIFS(Публикации!M:M,Публикации!$A:$A,$A4,Публикации!$E:$E,"новый формат")</f>
        <v>99</v>
      </c>
      <c r="G4" s="2" t="n">
        <f aca="false">SUMIFS(Публикации!K:K,Публикации!$A:$A,$A4,Публикации!$E:$E,"новый формат")</f>
        <v>343</v>
      </c>
      <c r="H4" s="5" t="n">
        <f aca="false">IFERROR(D4/C4,"")</f>
        <v>0.021178213553015</v>
      </c>
      <c r="I4" s="6" t="n">
        <f aca="false">IFERROR(E4/D4,"")</f>
        <v>0.660267796147015</v>
      </c>
      <c r="J4" s="7" t="n">
        <f aca="false">IFERROR(1000*E4/C4,"")</f>
        <v>13.98329238898</v>
      </c>
      <c r="K4" s="7" t="n">
        <f aca="false">IFERROR(1000*F4/E4,"")</f>
        <v>10.2431453698914</v>
      </c>
      <c r="L4" s="7" t="n">
        <f aca="false">IFERROR(1000*G4/E4,"")</f>
        <v>35.4888773926539</v>
      </c>
    </row>
    <row r="5" customFormat="false" ht="15" hidden="false" customHeight="false" outlineLevel="0" collapsed="false">
      <c r="A5" s="2" t="s">
        <v>152</v>
      </c>
      <c r="B5" s="2" t="n">
        <f aca="false">COUNTIFS(Публикации!$A:$A,$A5,Публикации!$E:$E,"основной")</f>
        <v>8</v>
      </c>
      <c r="C5" s="4" t="n">
        <f aca="false">SUMIFS(Публикации!H:H,Публикации!$A:$A,$A5,Публикации!$E:$E,"основной")</f>
        <v>27529</v>
      </c>
      <c r="D5" s="4" t="n">
        <f aca="false">SUMIFS(Публикации!I:I,Публикации!$A:$A,$A5,Публикации!$E:$E,"основной")</f>
        <v>540</v>
      </c>
      <c r="E5" s="4" t="n">
        <f aca="false">SUMIFS(Публикации!J:J,Публикации!$A:$A,$A5,Публикации!$E:$E,"основной")</f>
        <v>320</v>
      </c>
      <c r="F5" s="2" t="n">
        <f aca="false">SUMIFS(Публикации!M:M,Публикации!$A:$A,$A5,Публикации!$E:$E,"основной")</f>
        <v>8</v>
      </c>
      <c r="G5" s="2" t="n">
        <f aca="false">SUMIFS(Публикации!K:K,Публикации!$A:$A,$A5,Публикации!$E:$E,"основной")</f>
        <v>24</v>
      </c>
      <c r="H5" s="5" t="n">
        <f aca="false">IFERROR(D5/C5,"")</f>
        <v>0.019615678012278</v>
      </c>
      <c r="I5" s="6" t="n">
        <f aca="false">IFERROR(E5/D5,"")</f>
        <v>0.592592592592593</v>
      </c>
      <c r="J5" s="7" t="n">
        <f aca="false">IFERROR(1000*E5/C5,"")</f>
        <v>11.6241054887573</v>
      </c>
      <c r="K5" s="7" t="n">
        <f aca="false">IFERROR(1000*F5/E5,"")</f>
        <v>25</v>
      </c>
      <c r="L5" s="7" t="n">
        <f aca="false">IFERROR(1000*G5/E5,"")</f>
        <v>75</v>
      </c>
    </row>
    <row r="7" customFormat="false" ht="15" hidden="false" customHeight="false" outlineLevel="0" collapsed="false">
      <c r="A7" s="8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" t="s">
        <v>0</v>
      </c>
      <c r="B1" s="1" t="s">
        <v>251</v>
      </c>
      <c r="C1" s="1" t="s">
        <v>252</v>
      </c>
      <c r="D1" s="1" t="s">
        <v>247</v>
      </c>
      <c r="E1" s="1" t="s">
        <v>253</v>
      </c>
      <c r="F1" s="1" t="s">
        <v>254</v>
      </c>
      <c r="G1" s="1" t="s">
        <v>255</v>
      </c>
    </row>
    <row r="2" customFormat="false" ht="15" hidden="false" customHeight="false" outlineLevel="0" collapsed="false">
      <c r="A2" s="2" t="s">
        <v>22</v>
      </c>
      <c r="B2" s="2" t="s">
        <v>256</v>
      </c>
      <c r="C2" s="2" t="s">
        <v>257</v>
      </c>
      <c r="D2" s="2" t="n">
        <v>37</v>
      </c>
      <c r="E2" s="5" t="n">
        <v>0.0165</v>
      </c>
      <c r="F2" s="6" t="n">
        <v>0.608</v>
      </c>
      <c r="G2" s="2"/>
    </row>
    <row r="3" customFormat="false" ht="15" hidden="false" customHeight="false" outlineLevel="0" collapsed="false">
      <c r="A3" s="2" t="s">
        <v>22</v>
      </c>
      <c r="B3" s="2" t="s">
        <v>256</v>
      </c>
      <c r="C3" s="2" t="s">
        <v>177</v>
      </c>
      <c r="D3" s="2" t="n">
        <v>3</v>
      </c>
      <c r="E3" s="5" t="n">
        <v>0.0371</v>
      </c>
      <c r="F3" s="6" t="n">
        <v>0.755</v>
      </c>
      <c r="G3" s="2"/>
    </row>
    <row r="4" customFormat="false" ht="15" hidden="false" customHeight="false" outlineLevel="0" collapsed="false">
      <c r="A4" s="2" t="s">
        <v>22</v>
      </c>
      <c r="B4" s="2" t="s">
        <v>258</v>
      </c>
      <c r="C4" s="2" t="s">
        <v>257</v>
      </c>
      <c r="D4" s="2" t="n">
        <v>32</v>
      </c>
      <c r="E4" s="5" t="n">
        <v>0.0165</v>
      </c>
      <c r="F4" s="6" t="n">
        <v>0.596</v>
      </c>
      <c r="G4" s="2"/>
    </row>
    <row r="5" customFormat="false" ht="15" hidden="false" customHeight="false" outlineLevel="0" collapsed="false">
      <c r="A5" s="2" t="s">
        <v>22</v>
      </c>
      <c r="B5" s="2" t="s">
        <v>258</v>
      </c>
      <c r="C5" s="2" t="s">
        <v>177</v>
      </c>
      <c r="D5" s="2" t="n">
        <v>8</v>
      </c>
      <c r="E5" s="5" t="n">
        <v>0.0297</v>
      </c>
      <c r="F5" s="6" t="n">
        <v>0.693</v>
      </c>
      <c r="G5" s="2"/>
    </row>
    <row r="6" customFormat="false" ht="15" hidden="false" customHeight="false" outlineLevel="0" collapsed="false">
      <c r="A6" s="2" t="s">
        <v>22</v>
      </c>
      <c r="B6" s="2" t="s">
        <v>259</v>
      </c>
      <c r="C6" s="2" t="s">
        <v>257</v>
      </c>
      <c r="D6" s="2" t="n">
        <v>18</v>
      </c>
      <c r="E6" s="5" t="n">
        <v>0.0155</v>
      </c>
      <c r="F6" s="6" t="n">
        <v>0.577</v>
      </c>
      <c r="G6" s="2"/>
    </row>
    <row r="7" customFormat="false" ht="15" hidden="false" customHeight="false" outlineLevel="0" collapsed="false">
      <c r="A7" s="2" t="s">
        <v>22</v>
      </c>
      <c r="B7" s="2" t="s">
        <v>259</v>
      </c>
      <c r="C7" s="2" t="s">
        <v>177</v>
      </c>
      <c r="D7" s="2" t="n">
        <v>22</v>
      </c>
      <c r="E7" s="5" t="n">
        <v>0.017</v>
      </c>
      <c r="F7" s="6" t="n">
        <v>0.671</v>
      </c>
      <c r="G7" s="2"/>
    </row>
    <row r="8" customFormat="false" ht="15" hidden="false" customHeight="false" outlineLevel="0" collapsed="false">
      <c r="A8" s="2" t="s">
        <v>22</v>
      </c>
      <c r="B8" s="2" t="s">
        <v>260</v>
      </c>
      <c r="C8" s="2" t="s">
        <v>257</v>
      </c>
      <c r="D8" s="2" t="n">
        <v>29</v>
      </c>
      <c r="E8" s="5" t="n">
        <v>0.0167</v>
      </c>
      <c r="F8" s="6" t="n">
        <v>0.664</v>
      </c>
      <c r="G8" s="2"/>
    </row>
    <row r="9" customFormat="false" ht="15" hidden="false" customHeight="false" outlineLevel="0" collapsed="false">
      <c r="A9" s="2" t="s">
        <v>22</v>
      </c>
      <c r="B9" s="2" t="s">
        <v>260</v>
      </c>
      <c r="C9" s="2" t="s">
        <v>177</v>
      </c>
      <c r="D9" s="2" t="n">
        <v>11</v>
      </c>
      <c r="E9" s="5" t="n">
        <v>0.0157</v>
      </c>
      <c r="F9" s="6" t="n">
        <v>0.57</v>
      </c>
      <c r="G9" s="2"/>
    </row>
    <row r="10" customFormat="false" ht="15" hidden="false" customHeight="false" outlineLevel="0" collapsed="false">
      <c r="A10" s="2" t="s">
        <v>22</v>
      </c>
      <c r="B10" s="2" t="s">
        <v>261</v>
      </c>
      <c r="C10" s="2" t="s">
        <v>257</v>
      </c>
      <c r="D10" s="2" t="n">
        <v>30</v>
      </c>
      <c r="E10" s="5" t="n">
        <v>0.018</v>
      </c>
      <c r="F10" s="6" t="n">
        <v>0.663</v>
      </c>
      <c r="G10" s="2"/>
    </row>
    <row r="11" customFormat="false" ht="15" hidden="false" customHeight="false" outlineLevel="0" collapsed="false">
      <c r="A11" s="2" t="s">
        <v>22</v>
      </c>
      <c r="B11" s="2" t="s">
        <v>261</v>
      </c>
      <c r="C11" s="2" t="s">
        <v>177</v>
      </c>
      <c r="D11" s="2" t="n">
        <v>10</v>
      </c>
      <c r="E11" s="5" t="n">
        <v>0.0151</v>
      </c>
      <c r="F11" s="6" t="n">
        <v>0.596</v>
      </c>
      <c r="G11" s="2"/>
    </row>
    <row r="12" customFormat="false" ht="15" hidden="false" customHeight="false" outlineLevel="0" collapsed="false">
      <c r="A12" s="2" t="s">
        <v>22</v>
      </c>
      <c r="B12" s="2" t="s">
        <v>262</v>
      </c>
      <c r="C12" s="2" t="s">
        <v>257</v>
      </c>
      <c r="D12" s="2" t="n">
        <v>18</v>
      </c>
      <c r="E12" s="5" t="n">
        <v>0.0159</v>
      </c>
      <c r="F12" s="6" t="n">
        <v>0.58</v>
      </c>
      <c r="G12" s="2"/>
    </row>
    <row r="13" customFormat="false" ht="15" hidden="false" customHeight="false" outlineLevel="0" collapsed="false">
      <c r="A13" s="2" t="s">
        <v>22</v>
      </c>
      <c r="B13" s="2" t="s">
        <v>262</v>
      </c>
      <c r="C13" s="2" t="s">
        <v>177</v>
      </c>
      <c r="D13" s="2" t="n">
        <v>22</v>
      </c>
      <c r="E13" s="5" t="n">
        <v>0.0182</v>
      </c>
      <c r="F13" s="6" t="n">
        <v>0.672</v>
      </c>
      <c r="G13" s="2"/>
    </row>
    <row r="14" customFormat="false" ht="15" hidden="false" customHeight="false" outlineLevel="0" collapsed="false">
      <c r="A14" s="2" t="s">
        <v>22</v>
      </c>
      <c r="B14" s="2" t="s">
        <v>263</v>
      </c>
      <c r="C14" s="2" t="s">
        <v>257</v>
      </c>
      <c r="D14" s="2" t="n">
        <v>33</v>
      </c>
      <c r="E14" s="5" t="n">
        <v>0.0165</v>
      </c>
      <c r="F14" s="6" t="n">
        <v>0.597</v>
      </c>
      <c r="G14" s="2"/>
    </row>
    <row r="15" customFormat="false" ht="15" hidden="false" customHeight="false" outlineLevel="0" collapsed="false">
      <c r="A15" s="2" t="s">
        <v>22</v>
      </c>
      <c r="B15" s="2" t="s">
        <v>263</v>
      </c>
      <c r="C15" s="2" t="s">
        <v>177</v>
      </c>
      <c r="D15" s="2" t="n">
        <v>7</v>
      </c>
      <c r="E15" s="5" t="n">
        <v>0.0198</v>
      </c>
      <c r="F15" s="6" t="n">
        <v>0.709</v>
      </c>
      <c r="G15" s="2"/>
    </row>
    <row r="16" customFormat="false" ht="15" hidden="false" customHeight="false" outlineLevel="0" collapsed="false">
      <c r="A16" s="2" t="s">
        <v>200</v>
      </c>
      <c r="B16" s="2" t="s">
        <v>264</v>
      </c>
      <c r="C16" s="2" t="s">
        <v>265</v>
      </c>
      <c r="D16" s="2" t="n">
        <v>5</v>
      </c>
      <c r="E16" s="5" t="n">
        <v>0.0673</v>
      </c>
      <c r="F16" s="6" t="n">
        <v>0.805</v>
      </c>
      <c r="G16" s="2"/>
    </row>
    <row r="17" customFormat="false" ht="15" hidden="false" customHeight="false" outlineLevel="0" collapsed="false">
      <c r="A17" s="2" t="s">
        <v>200</v>
      </c>
      <c r="B17" s="2" t="s">
        <v>264</v>
      </c>
      <c r="C17" s="2" t="s">
        <v>266</v>
      </c>
      <c r="D17" s="2" t="n">
        <v>12</v>
      </c>
      <c r="E17" s="5" t="n">
        <v>0.1879</v>
      </c>
      <c r="F17" s="6" t="n">
        <v>0.872</v>
      </c>
      <c r="G17" s="2"/>
    </row>
    <row r="18" customFormat="false" ht="15" hidden="false" customHeight="false" outlineLevel="0" collapsed="false">
      <c r="A18" s="2" t="s">
        <v>200</v>
      </c>
      <c r="B18" s="2" t="s">
        <v>267</v>
      </c>
      <c r="C18" s="2" t="s">
        <v>268</v>
      </c>
      <c r="D18" s="2" t="n">
        <v>4</v>
      </c>
      <c r="E18" s="5" t="n">
        <v>0.1522</v>
      </c>
      <c r="F18" s="6" t="n">
        <v>0.867</v>
      </c>
      <c r="G18" s="2" t="s">
        <v>269</v>
      </c>
    </row>
    <row r="19" customFormat="false" ht="15" hidden="false" customHeight="false" outlineLevel="0" collapsed="false">
      <c r="A19" s="2" t="s">
        <v>200</v>
      </c>
      <c r="B19" s="2" t="s">
        <v>267</v>
      </c>
      <c r="C19" s="2" t="s">
        <v>270</v>
      </c>
      <c r="D19" s="2" t="n">
        <v>8</v>
      </c>
      <c r="E19" s="5" t="n">
        <v>0.2149</v>
      </c>
      <c r="F19" s="6" t="n">
        <v>0.872</v>
      </c>
      <c r="G19" s="2" t="s">
        <v>271</v>
      </c>
    </row>
    <row r="21" customFormat="false" ht="15" hidden="false" customHeight="false" outlineLevel="0" collapsed="false">
      <c r="A21" s="8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2026-10-08T00:29:16Z</dcterms:created>
  <dc:creator>openpyxl</dc:creator>
  <dc:description/>
  <dc:language>en-US</dc:language>
  <cp:lastModifiedBy/>
  <dcterms:modified xsi:type="dcterms:W3CDTF">2026-10-08T00:29:16Z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